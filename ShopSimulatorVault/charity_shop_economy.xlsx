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inec\Downloads\"/>
    </mc:Choice>
  </mc:AlternateContent>
  <xr:revisionPtr revIDLastSave="0" documentId="13_ncr:1_{228333C4-B2D1-467A-A055-3D60AD2AAE1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mmary" sheetId="1" r:id="rId1"/>
    <sheet name="Inputs" sheetId="2" r:id="rId2"/>
    <sheet name="Low" sheetId="3" r:id="rId3"/>
    <sheet name="Mid" sheetId="4" r:id="rId4"/>
    <sheet name="High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" i="5" l="1"/>
  <c r="D5" i="1" s="1"/>
  <c r="C5" i="5"/>
  <c r="D5" i="5" s="1"/>
  <c r="F5" i="5" s="1"/>
  <c r="J5" i="4"/>
  <c r="C5" i="1" s="1"/>
  <c r="C5" i="4"/>
  <c r="D5" i="4" s="1"/>
  <c r="F5" i="4" s="1"/>
  <c r="J5" i="3"/>
  <c r="B5" i="1" s="1"/>
  <c r="C5" i="3"/>
  <c r="D5" i="3" s="1"/>
  <c r="F5" i="3" s="1"/>
  <c r="B20" i="2"/>
  <c r="B18" i="2"/>
  <c r="H5" i="5" l="1"/>
  <c r="I5" i="5" s="1"/>
  <c r="G5" i="4"/>
  <c r="H5" i="4"/>
  <c r="I5" i="4" s="1"/>
  <c r="G5" i="3"/>
  <c r="H5" i="3"/>
  <c r="I5" i="3" s="1"/>
  <c r="E25" i="5"/>
  <c r="E5" i="5"/>
  <c r="G5" i="5" s="1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30" i="4"/>
  <c r="E29" i="4"/>
  <c r="E28" i="4"/>
  <c r="E27" i="4"/>
  <c r="E26" i="4"/>
  <c r="E25" i="4"/>
  <c r="E24" i="4"/>
  <c r="E30" i="3"/>
  <c r="E23" i="4"/>
  <c r="E22" i="4"/>
  <c r="E21" i="4"/>
  <c r="E20" i="4"/>
  <c r="E19" i="4"/>
  <c r="E18" i="4"/>
  <c r="E17" i="4"/>
  <c r="E12" i="4"/>
  <c r="E16" i="4"/>
  <c r="E15" i="4"/>
  <c r="E14" i="4"/>
  <c r="E13" i="4"/>
  <c r="E11" i="4"/>
  <c r="E5" i="4"/>
  <c r="E30" i="5"/>
  <c r="E10" i="4"/>
  <c r="E9" i="4"/>
  <c r="E8" i="4"/>
  <c r="E7" i="4"/>
  <c r="E6" i="4"/>
  <c r="E29" i="3"/>
  <c r="E28" i="3"/>
  <c r="E27" i="3"/>
  <c r="E26" i="3"/>
  <c r="E25" i="3"/>
  <c r="E24" i="3"/>
  <c r="E23" i="3"/>
  <c r="E22" i="3"/>
  <c r="E29" i="5"/>
  <c r="E20" i="3"/>
  <c r="E19" i="3"/>
  <c r="E18" i="3"/>
  <c r="E17" i="3"/>
  <c r="E16" i="3"/>
  <c r="E15" i="3"/>
  <c r="E14" i="3"/>
  <c r="E13" i="3"/>
  <c r="E12" i="3"/>
  <c r="E21" i="3"/>
  <c r="E10" i="3"/>
  <c r="E9" i="3"/>
  <c r="E8" i="3"/>
  <c r="E7" i="3"/>
  <c r="E6" i="3"/>
  <c r="E28" i="5"/>
  <c r="E27" i="5"/>
  <c r="E26" i="5"/>
  <c r="E5" i="3"/>
  <c r="E11" i="3"/>
  <c r="D4" i="1" l="1"/>
  <c r="K5" i="5"/>
  <c r="K5" i="4"/>
  <c r="C4" i="1"/>
  <c r="B4" i="1"/>
  <c r="K5" i="3"/>
  <c r="D6" i="1" l="1"/>
  <c r="L5" i="5"/>
  <c r="N5" i="5"/>
  <c r="C6" i="1"/>
  <c r="L5" i="4"/>
  <c r="N5" i="4"/>
  <c r="B6" i="1"/>
  <c r="L5" i="3"/>
  <c r="N5" i="3"/>
  <c r="B7" i="1" s="1"/>
  <c r="B6" i="5" l="1"/>
  <c r="M5" i="5"/>
  <c r="B6" i="4"/>
  <c r="M5" i="4"/>
  <c r="B6" i="3"/>
  <c r="M5" i="3"/>
  <c r="J6" i="5" l="1"/>
  <c r="C6" i="5"/>
  <c r="D6" i="5" s="1"/>
  <c r="F6" i="5" s="1"/>
  <c r="J6" i="4"/>
  <c r="C6" i="4"/>
  <c r="D6" i="4" s="1"/>
  <c r="F6" i="4" s="1"/>
  <c r="J6" i="3"/>
  <c r="C6" i="3"/>
  <c r="D6" i="3" s="1"/>
  <c r="F6" i="3" s="1"/>
  <c r="G6" i="5" l="1"/>
  <c r="H6" i="5"/>
  <c r="I6" i="5" s="1"/>
  <c r="G6" i="4"/>
  <c r="K6" i="4" s="1"/>
  <c r="H6" i="4"/>
  <c r="I6" i="4" s="1"/>
  <c r="G6" i="3"/>
  <c r="H6" i="3"/>
  <c r="I6" i="3" s="1"/>
  <c r="L6" i="4" l="1"/>
  <c r="N6" i="4"/>
  <c r="K6" i="5"/>
  <c r="K6" i="3"/>
  <c r="N6" i="5" l="1"/>
  <c r="M6" i="5"/>
  <c r="L6" i="5"/>
  <c r="B7" i="5" s="1"/>
  <c r="N6" i="3"/>
  <c r="L6" i="3"/>
  <c r="B7" i="4"/>
  <c r="M6" i="4"/>
  <c r="J7" i="5" l="1"/>
  <c r="C7" i="5"/>
  <c r="D7" i="5" s="1"/>
  <c r="F7" i="5" s="1"/>
  <c r="C7" i="4"/>
  <c r="D7" i="4" s="1"/>
  <c r="F7" i="4" s="1"/>
  <c r="J7" i="4"/>
  <c r="B7" i="3"/>
  <c r="M6" i="3"/>
  <c r="G7" i="5" l="1"/>
  <c r="H7" i="5"/>
  <c r="I7" i="5" s="1"/>
  <c r="G7" i="4"/>
  <c r="H7" i="4"/>
  <c r="I7" i="4" s="1"/>
  <c r="C7" i="3"/>
  <c r="D7" i="3" s="1"/>
  <c r="F7" i="3" s="1"/>
  <c r="J7" i="3"/>
  <c r="G7" i="3" l="1"/>
  <c r="H7" i="3"/>
  <c r="I7" i="3" s="1"/>
  <c r="K7" i="4"/>
  <c r="K7" i="5"/>
  <c r="N7" i="4" l="1"/>
  <c r="L7" i="4"/>
  <c r="N7" i="5"/>
  <c r="L7" i="5"/>
  <c r="K7" i="3"/>
  <c r="N7" i="3" l="1"/>
  <c r="L7" i="3"/>
  <c r="B8" i="4"/>
  <c r="M7" i="4"/>
  <c r="B8" i="5"/>
  <c r="M7" i="5"/>
  <c r="C8" i="4" l="1"/>
  <c r="D8" i="4" s="1"/>
  <c r="F8" i="4" s="1"/>
  <c r="J8" i="4"/>
  <c r="D8" i="1"/>
  <c r="C8" i="5"/>
  <c r="D8" i="5" s="1"/>
  <c r="F8" i="5" s="1"/>
  <c r="J8" i="5"/>
  <c r="B8" i="3"/>
  <c r="M7" i="3"/>
  <c r="G8" i="4" l="1"/>
  <c r="H8" i="4"/>
  <c r="I8" i="4" s="1"/>
  <c r="G8" i="5"/>
  <c r="K8" i="5" s="1"/>
  <c r="H8" i="5"/>
  <c r="I8" i="5" s="1"/>
  <c r="C8" i="3"/>
  <c r="D8" i="3" s="1"/>
  <c r="F8" i="3" s="1"/>
  <c r="J8" i="3"/>
  <c r="L8" i="5" l="1"/>
  <c r="N8" i="5"/>
  <c r="G8" i="3"/>
  <c r="H8" i="3"/>
  <c r="I8" i="3" s="1"/>
  <c r="K8" i="4"/>
  <c r="N8" i="4" l="1"/>
  <c r="M8" i="4"/>
  <c r="L8" i="4"/>
  <c r="B9" i="4" s="1"/>
  <c r="K8" i="3"/>
  <c r="B9" i="5"/>
  <c r="M8" i="5"/>
  <c r="J9" i="4" l="1"/>
  <c r="C9" i="4"/>
  <c r="D9" i="4" s="1"/>
  <c r="F9" i="4" s="1"/>
  <c r="N8" i="3"/>
  <c r="L8" i="3"/>
  <c r="C9" i="5"/>
  <c r="D9" i="5" s="1"/>
  <c r="F9" i="5" s="1"/>
  <c r="J9" i="5"/>
  <c r="G9" i="4" l="1"/>
  <c r="H9" i="4"/>
  <c r="I9" i="4" s="1"/>
  <c r="G9" i="5"/>
  <c r="H9" i="5"/>
  <c r="I9" i="5" s="1"/>
  <c r="B9" i="3"/>
  <c r="M8" i="3"/>
  <c r="C9" i="3" l="1"/>
  <c r="D9" i="3" s="1"/>
  <c r="F9" i="3" s="1"/>
  <c r="J9" i="3"/>
  <c r="K9" i="4"/>
  <c r="K9" i="5"/>
  <c r="G9" i="3" l="1"/>
  <c r="K9" i="3" s="1"/>
  <c r="H9" i="3"/>
  <c r="I9" i="3" s="1"/>
  <c r="N9" i="4"/>
  <c r="L9" i="4"/>
  <c r="N9" i="5"/>
  <c r="L9" i="5"/>
  <c r="L9" i="3" l="1"/>
  <c r="B10" i="3" s="1"/>
  <c r="M9" i="3"/>
  <c r="N9" i="3"/>
  <c r="B10" i="4"/>
  <c r="M9" i="4"/>
  <c r="B10" i="5"/>
  <c r="M9" i="5"/>
  <c r="J10" i="3" l="1"/>
  <c r="C10" i="3"/>
  <c r="D10" i="3" s="1"/>
  <c r="F10" i="3" s="1"/>
  <c r="C10" i="4"/>
  <c r="D10" i="4" s="1"/>
  <c r="F10" i="4" s="1"/>
  <c r="J10" i="4"/>
  <c r="C10" i="5"/>
  <c r="D10" i="5" s="1"/>
  <c r="F10" i="5" s="1"/>
  <c r="J10" i="5"/>
  <c r="G10" i="3" l="1"/>
  <c r="K10" i="3" s="1"/>
  <c r="H10" i="3"/>
  <c r="I10" i="3" s="1"/>
  <c r="G10" i="4"/>
  <c r="H10" i="4"/>
  <c r="I10" i="4" s="1"/>
  <c r="G10" i="5"/>
  <c r="H10" i="5"/>
  <c r="I10" i="5" s="1"/>
  <c r="L10" i="3" l="1"/>
  <c r="N10" i="3"/>
  <c r="K10" i="4"/>
  <c r="K10" i="5"/>
  <c r="N10" i="4" l="1"/>
  <c r="L10" i="4"/>
  <c r="N10" i="5"/>
  <c r="L10" i="5"/>
  <c r="B11" i="3"/>
  <c r="M10" i="3"/>
  <c r="C11" i="3" l="1"/>
  <c r="D11" i="3" s="1"/>
  <c r="F11" i="3" s="1"/>
  <c r="J11" i="3"/>
  <c r="B11" i="4"/>
  <c r="M10" i="4"/>
  <c r="B11" i="5"/>
  <c r="M10" i="5"/>
  <c r="G11" i="3" l="1"/>
  <c r="H11" i="3"/>
  <c r="I11" i="3" s="1"/>
  <c r="C11" i="4"/>
  <c r="D11" i="4" s="1"/>
  <c r="F11" i="4" s="1"/>
  <c r="J11" i="4"/>
  <c r="C11" i="5"/>
  <c r="D11" i="5" s="1"/>
  <c r="F11" i="5" s="1"/>
  <c r="J11" i="5"/>
  <c r="L11" i="5"/>
  <c r="B12" i="5"/>
  <c r="H11" i="4" l="1"/>
  <c r="I11" i="4" s="1"/>
  <c r="G11" i="4"/>
  <c r="K11" i="4" s="1"/>
  <c r="G11" i="5"/>
  <c r="H11" i="5"/>
  <c r="I11" i="5" s="1"/>
  <c r="C12" i="5"/>
  <c r="D12" i="5" s="1"/>
  <c r="F12" i="5" s="1"/>
  <c r="J12" i="5"/>
  <c r="L12" i="5"/>
  <c r="B13" i="5"/>
  <c r="K11" i="3"/>
  <c r="L11" i="4" l="1"/>
  <c r="N11" i="4"/>
  <c r="G12" i="5"/>
  <c r="H12" i="5"/>
  <c r="I12" i="5" s="1"/>
  <c r="C13" i="5"/>
  <c r="D13" i="5" s="1"/>
  <c r="F13" i="5" s="1"/>
  <c r="J13" i="5"/>
  <c r="L13" i="5"/>
  <c r="B14" i="5" s="1"/>
  <c r="N11" i="3"/>
  <c r="L11" i="3"/>
  <c r="K11" i="5"/>
  <c r="G13" i="5" l="1"/>
  <c r="H13" i="5"/>
  <c r="I13" i="5" s="1"/>
  <c r="C14" i="5"/>
  <c r="D14" i="5" s="1"/>
  <c r="F14" i="5" s="1"/>
  <c r="J14" i="5"/>
  <c r="L14" i="5"/>
  <c r="B15" i="5" s="1"/>
  <c r="N11" i="5"/>
  <c r="M11" i="5"/>
  <c r="K12" i="5" s="1"/>
  <c r="B12" i="4"/>
  <c r="M11" i="4"/>
  <c r="B12" i="3"/>
  <c r="M11" i="3"/>
  <c r="G14" i="5" l="1"/>
  <c r="H14" i="5"/>
  <c r="I14" i="5" s="1"/>
  <c r="C15" i="5"/>
  <c r="D15" i="5" s="1"/>
  <c r="F15" i="5" s="1"/>
  <c r="J15" i="5"/>
  <c r="L15" i="5"/>
  <c r="B16" i="5"/>
  <c r="M12" i="5"/>
  <c r="K13" i="5" s="1"/>
  <c r="N12" i="5"/>
  <c r="J12" i="4"/>
  <c r="C12" i="4"/>
  <c r="D12" i="4" s="1"/>
  <c r="F12" i="4" s="1"/>
  <c r="C12" i="3"/>
  <c r="D12" i="3" s="1"/>
  <c r="F12" i="3" s="1"/>
  <c r="J12" i="3"/>
  <c r="G15" i="5" l="1"/>
  <c r="H15" i="5"/>
  <c r="I15" i="5" s="1"/>
  <c r="C16" i="5"/>
  <c r="D16" i="5" s="1"/>
  <c r="F16" i="5" s="1"/>
  <c r="J16" i="5"/>
  <c r="L16" i="5"/>
  <c r="B17" i="5"/>
  <c r="M13" i="5"/>
  <c r="K14" i="5" s="1"/>
  <c r="N13" i="5"/>
  <c r="G12" i="4"/>
  <c r="H12" i="4"/>
  <c r="I12" i="4" s="1"/>
  <c r="G12" i="3"/>
  <c r="H12" i="3"/>
  <c r="I12" i="3" s="1"/>
  <c r="G16" i="5" l="1"/>
  <c r="H16" i="5"/>
  <c r="I16" i="5" s="1"/>
  <c r="C17" i="5"/>
  <c r="D17" i="5" s="1"/>
  <c r="F17" i="5" s="1"/>
  <c r="J17" i="5"/>
  <c r="L17" i="5"/>
  <c r="B18" i="5"/>
  <c r="M14" i="5"/>
  <c r="K15" i="5" s="1"/>
  <c r="N14" i="5"/>
  <c r="K12" i="4"/>
  <c r="K12" i="3"/>
  <c r="G17" i="5" l="1"/>
  <c r="H17" i="5"/>
  <c r="I17" i="5" s="1"/>
  <c r="C18" i="5"/>
  <c r="D18" i="5" s="1"/>
  <c r="F18" i="5" s="1"/>
  <c r="J18" i="5"/>
  <c r="L18" i="5"/>
  <c r="B19" i="5"/>
  <c r="M15" i="5"/>
  <c r="K16" i="5" s="1"/>
  <c r="N15" i="5"/>
  <c r="N12" i="4"/>
  <c r="L12" i="4"/>
  <c r="N12" i="3"/>
  <c r="L12" i="3"/>
  <c r="G18" i="5" l="1"/>
  <c r="H18" i="5"/>
  <c r="I18" i="5" s="1"/>
  <c r="C19" i="5"/>
  <c r="D19" i="5" s="1"/>
  <c r="F19" i="5" s="1"/>
  <c r="J19" i="5"/>
  <c r="L19" i="5"/>
  <c r="B20" i="5"/>
  <c r="M16" i="5"/>
  <c r="K17" i="5" s="1"/>
  <c r="N16" i="5"/>
  <c r="B13" i="4"/>
  <c r="M12" i="4"/>
  <c r="B13" i="3"/>
  <c r="M12" i="3"/>
  <c r="G19" i="5" l="1"/>
  <c r="H19" i="5"/>
  <c r="I19" i="5" s="1"/>
  <c r="C20" i="5"/>
  <c r="D20" i="5" s="1"/>
  <c r="F20" i="5" s="1"/>
  <c r="J20" i="5"/>
  <c r="L20" i="5"/>
  <c r="B21" i="5"/>
  <c r="M17" i="5"/>
  <c r="K18" i="5" s="1"/>
  <c r="N17" i="5"/>
  <c r="C13" i="4"/>
  <c r="D13" i="4" s="1"/>
  <c r="F13" i="4" s="1"/>
  <c r="J13" i="4"/>
  <c r="C13" i="3"/>
  <c r="D13" i="3" s="1"/>
  <c r="F13" i="3" s="1"/>
  <c r="J13" i="3"/>
  <c r="G20" i="5" l="1"/>
  <c r="H20" i="5"/>
  <c r="I20" i="5" s="1"/>
  <c r="C21" i="5"/>
  <c r="D21" i="5" s="1"/>
  <c r="F21" i="5" s="1"/>
  <c r="J21" i="5"/>
  <c r="L21" i="5"/>
  <c r="B22" i="5" s="1"/>
  <c r="M18" i="5"/>
  <c r="K19" i="5" s="1"/>
  <c r="N18" i="5"/>
  <c r="G13" i="4"/>
  <c r="H13" i="4"/>
  <c r="I13" i="4" s="1"/>
  <c r="G13" i="3"/>
  <c r="H13" i="3"/>
  <c r="I13" i="3" s="1"/>
  <c r="G21" i="5" l="1"/>
  <c r="H21" i="5"/>
  <c r="I21" i="5" s="1"/>
  <c r="C22" i="5"/>
  <c r="D22" i="5" s="1"/>
  <c r="F22" i="5" s="1"/>
  <c r="J22" i="5"/>
  <c r="L22" i="5"/>
  <c r="B23" i="5" s="1"/>
  <c r="M19" i="5"/>
  <c r="K20" i="5" s="1"/>
  <c r="N19" i="5"/>
  <c r="K13" i="3"/>
  <c r="K13" i="4"/>
  <c r="G22" i="5" l="1"/>
  <c r="H22" i="5"/>
  <c r="I22" i="5" s="1"/>
  <c r="C23" i="5"/>
  <c r="D23" i="5" s="1"/>
  <c r="F23" i="5" s="1"/>
  <c r="J23" i="5"/>
  <c r="L23" i="5"/>
  <c r="B24" i="5" s="1"/>
  <c r="M20" i="5"/>
  <c r="K21" i="5" s="1"/>
  <c r="N20" i="5"/>
  <c r="N13" i="3"/>
  <c r="M13" i="3"/>
  <c r="L13" i="3"/>
  <c r="B14" i="3" s="1"/>
  <c r="N13" i="4"/>
  <c r="L13" i="4"/>
  <c r="G23" i="5" l="1"/>
  <c r="H23" i="5"/>
  <c r="I23" i="5" s="1"/>
  <c r="C24" i="5"/>
  <c r="D24" i="5" s="1"/>
  <c r="F24" i="5" s="1"/>
  <c r="J24" i="5"/>
  <c r="L24" i="5"/>
  <c r="B25" i="5"/>
  <c r="M21" i="5"/>
  <c r="K22" i="5" s="1"/>
  <c r="N21" i="5"/>
  <c r="J14" i="3"/>
  <c r="C14" i="3"/>
  <c r="D14" i="3" s="1"/>
  <c r="F14" i="3" s="1"/>
  <c r="B14" i="4"/>
  <c r="M13" i="4"/>
  <c r="G24" i="5" l="1"/>
  <c r="H24" i="5"/>
  <c r="I24" i="5" s="1"/>
  <c r="C25" i="5"/>
  <c r="D25" i="5" s="1"/>
  <c r="F25" i="5" s="1"/>
  <c r="J25" i="5"/>
  <c r="L25" i="5"/>
  <c r="B26" i="5" s="1"/>
  <c r="M22" i="5"/>
  <c r="K23" i="5" s="1"/>
  <c r="N22" i="5"/>
  <c r="G14" i="3"/>
  <c r="K14" i="3" s="1"/>
  <c r="H14" i="3"/>
  <c r="I14" i="3" s="1"/>
  <c r="C14" i="4"/>
  <c r="D14" i="4" s="1"/>
  <c r="F14" i="4" s="1"/>
  <c r="J14" i="4"/>
  <c r="G25" i="5" l="1"/>
  <c r="H25" i="5"/>
  <c r="I25" i="5" s="1"/>
  <c r="C26" i="5"/>
  <c r="D26" i="5" s="1"/>
  <c r="F26" i="5" s="1"/>
  <c r="J26" i="5"/>
  <c r="L26" i="5"/>
  <c r="B27" i="5" s="1"/>
  <c r="M23" i="5"/>
  <c r="K24" i="5" s="1"/>
  <c r="N23" i="5"/>
  <c r="L14" i="3"/>
  <c r="N14" i="3"/>
  <c r="G14" i="4"/>
  <c r="H14" i="4"/>
  <c r="I14" i="4" s="1"/>
  <c r="G26" i="5" l="1"/>
  <c r="H26" i="5"/>
  <c r="I26" i="5" s="1"/>
  <c r="C27" i="5"/>
  <c r="D27" i="5" s="1"/>
  <c r="F27" i="5" s="1"/>
  <c r="J27" i="5"/>
  <c r="L27" i="5"/>
  <c r="B28" i="5"/>
  <c r="M24" i="5"/>
  <c r="K25" i="5" s="1"/>
  <c r="N24" i="5"/>
  <c r="K14" i="4"/>
  <c r="B15" i="3"/>
  <c r="M14" i="3"/>
  <c r="G27" i="5" l="1"/>
  <c r="H27" i="5"/>
  <c r="I27" i="5" s="1"/>
  <c r="C28" i="5"/>
  <c r="D28" i="5" s="1"/>
  <c r="F28" i="5" s="1"/>
  <c r="J28" i="5"/>
  <c r="L28" i="5"/>
  <c r="B29" i="5"/>
  <c r="M25" i="5"/>
  <c r="K26" i="5" s="1"/>
  <c r="N25" i="5"/>
  <c r="N14" i="4"/>
  <c r="L14" i="4"/>
  <c r="C15" i="3"/>
  <c r="D15" i="3" s="1"/>
  <c r="F15" i="3" s="1"/>
  <c r="J15" i="3"/>
  <c r="G28" i="5" l="1"/>
  <c r="H28" i="5"/>
  <c r="I28" i="5" s="1"/>
  <c r="C29" i="5"/>
  <c r="D29" i="5" s="1"/>
  <c r="F29" i="5" s="1"/>
  <c r="J29" i="5"/>
  <c r="L29" i="5"/>
  <c r="B30" i="5"/>
  <c r="M26" i="5"/>
  <c r="K27" i="5" s="1"/>
  <c r="N26" i="5"/>
  <c r="G15" i="3"/>
  <c r="H15" i="3"/>
  <c r="I15" i="3" s="1"/>
  <c r="B15" i="4"/>
  <c r="M14" i="4"/>
  <c r="G29" i="5" l="1"/>
  <c r="H29" i="5"/>
  <c r="I29" i="5" s="1"/>
  <c r="D9" i="1"/>
  <c r="C30" i="5"/>
  <c r="D30" i="5" s="1"/>
  <c r="F30" i="5" s="1"/>
  <c r="J30" i="5"/>
  <c r="L30" i="5"/>
  <c r="M27" i="5"/>
  <c r="K28" i="5" s="1"/>
  <c r="N27" i="5"/>
  <c r="C15" i="4"/>
  <c r="D15" i="4" s="1"/>
  <c r="F15" i="4" s="1"/>
  <c r="J15" i="4"/>
  <c r="K15" i="3"/>
  <c r="G30" i="5" l="1"/>
  <c r="H30" i="5"/>
  <c r="I30" i="5" s="1"/>
  <c r="M28" i="5"/>
  <c r="K29" i="5" s="1"/>
  <c r="N28" i="5"/>
  <c r="G15" i="4"/>
  <c r="K15" i="4" s="1"/>
  <c r="H15" i="4"/>
  <c r="I15" i="4" s="1"/>
  <c r="N15" i="3"/>
  <c r="L15" i="3"/>
  <c r="M29" i="5" l="1"/>
  <c r="K30" i="5" s="1"/>
  <c r="N29" i="5"/>
  <c r="L15" i="4"/>
  <c r="B16" i="4" s="1"/>
  <c r="M15" i="4"/>
  <c r="N15" i="4"/>
  <c r="B16" i="3"/>
  <c r="M15" i="3"/>
  <c r="M30" i="5" l="1"/>
  <c r="D10" i="1" s="1"/>
  <c r="N30" i="5"/>
  <c r="D7" i="1" s="1"/>
  <c r="J16" i="4"/>
  <c r="C16" i="4"/>
  <c r="D16" i="4" s="1"/>
  <c r="F16" i="4" s="1"/>
  <c r="C16" i="3"/>
  <c r="D16" i="3" s="1"/>
  <c r="F16" i="3" s="1"/>
  <c r="J16" i="3"/>
  <c r="G16" i="4" l="1"/>
  <c r="K16" i="4" s="1"/>
  <c r="H16" i="4"/>
  <c r="I16" i="4" s="1"/>
  <c r="G16" i="3"/>
  <c r="K16" i="3" s="1"/>
  <c r="H16" i="3"/>
  <c r="I16" i="3" s="1"/>
  <c r="L16" i="4" l="1"/>
  <c r="N16" i="4"/>
  <c r="L16" i="3"/>
  <c r="N16" i="3"/>
  <c r="B17" i="4" l="1"/>
  <c r="M16" i="4"/>
  <c r="B17" i="3"/>
  <c r="M16" i="3"/>
  <c r="C17" i="4" l="1"/>
  <c r="D17" i="4" s="1"/>
  <c r="F17" i="4" s="1"/>
  <c r="J17" i="4"/>
  <c r="C17" i="3"/>
  <c r="D17" i="3" s="1"/>
  <c r="F17" i="3" s="1"/>
  <c r="J17" i="3"/>
  <c r="G17" i="4" l="1"/>
  <c r="H17" i="4"/>
  <c r="I17" i="4" s="1"/>
  <c r="G17" i="3"/>
  <c r="K17" i="3" s="1"/>
  <c r="H17" i="3"/>
  <c r="I17" i="3" s="1"/>
  <c r="L17" i="3" l="1"/>
  <c r="N17" i="3"/>
  <c r="K17" i="4"/>
  <c r="N17" i="4" l="1"/>
  <c r="L17" i="4"/>
  <c r="B18" i="3"/>
  <c r="M17" i="3"/>
  <c r="C18" i="3" l="1"/>
  <c r="D18" i="3" s="1"/>
  <c r="F18" i="3" s="1"/>
  <c r="J18" i="3"/>
  <c r="B18" i="4"/>
  <c r="M17" i="4"/>
  <c r="G18" i="3" l="1"/>
  <c r="K18" i="3" s="1"/>
  <c r="H18" i="3"/>
  <c r="I18" i="3" s="1"/>
  <c r="C18" i="4"/>
  <c r="D18" i="4" s="1"/>
  <c r="F18" i="4" s="1"/>
  <c r="J18" i="4"/>
  <c r="L18" i="3" l="1"/>
  <c r="N18" i="3"/>
  <c r="G18" i="4"/>
  <c r="H18" i="4"/>
  <c r="I18" i="4" s="1"/>
  <c r="K18" i="4" l="1"/>
  <c r="B19" i="3"/>
  <c r="M18" i="3"/>
  <c r="N18" i="4" l="1"/>
  <c r="L18" i="4"/>
  <c r="C19" i="3"/>
  <c r="D19" i="3" s="1"/>
  <c r="F19" i="3" s="1"/>
  <c r="J19" i="3"/>
  <c r="G19" i="3" l="1"/>
  <c r="H19" i="3"/>
  <c r="I19" i="3" s="1"/>
  <c r="B19" i="4"/>
  <c r="M18" i="4"/>
  <c r="C19" i="4" l="1"/>
  <c r="D19" i="4" s="1"/>
  <c r="F19" i="4" s="1"/>
  <c r="J19" i="4"/>
  <c r="K19" i="3"/>
  <c r="G19" i="4" l="1"/>
  <c r="H19" i="4"/>
  <c r="I19" i="4" s="1"/>
  <c r="N19" i="3"/>
  <c r="M19" i="3"/>
  <c r="L19" i="3"/>
  <c r="B20" i="3" s="1"/>
  <c r="J20" i="3" l="1"/>
  <c r="C20" i="3"/>
  <c r="D20" i="3" s="1"/>
  <c r="F20" i="3" s="1"/>
  <c r="K19" i="4"/>
  <c r="G20" i="3" l="1"/>
  <c r="H20" i="3"/>
  <c r="I20" i="3" s="1"/>
  <c r="N19" i="4"/>
  <c r="L19" i="4"/>
  <c r="K20" i="3" l="1"/>
  <c r="B20" i="4"/>
  <c r="M19" i="4"/>
  <c r="N20" i="3" l="1"/>
  <c r="L20" i="3"/>
  <c r="C20" i="4"/>
  <c r="D20" i="4" s="1"/>
  <c r="F20" i="4" s="1"/>
  <c r="J20" i="4"/>
  <c r="G20" i="4" l="1"/>
  <c r="K20" i="4" s="1"/>
  <c r="H20" i="4"/>
  <c r="I20" i="4" s="1"/>
  <c r="B21" i="3"/>
  <c r="M20" i="3"/>
  <c r="L20" i="4" l="1"/>
  <c r="N20" i="4"/>
  <c r="C21" i="3"/>
  <c r="D21" i="3" s="1"/>
  <c r="F21" i="3" s="1"/>
  <c r="J21" i="3"/>
  <c r="G21" i="3" l="1"/>
  <c r="K21" i="3" s="1"/>
  <c r="H21" i="3"/>
  <c r="I21" i="3" s="1"/>
  <c r="B21" i="4"/>
  <c r="M20" i="4"/>
  <c r="L21" i="3" l="1"/>
  <c r="N21" i="3"/>
  <c r="C21" i="4"/>
  <c r="D21" i="4" s="1"/>
  <c r="F21" i="4" s="1"/>
  <c r="J21" i="4"/>
  <c r="G21" i="4" l="1"/>
  <c r="K21" i="4" s="1"/>
  <c r="H21" i="4"/>
  <c r="I21" i="4" s="1"/>
  <c r="B22" i="3"/>
  <c r="M21" i="3"/>
  <c r="L21" i="4" l="1"/>
  <c r="N21" i="4"/>
  <c r="C22" i="3"/>
  <c r="D22" i="3" s="1"/>
  <c r="F22" i="3" s="1"/>
  <c r="J22" i="3"/>
  <c r="G22" i="3" l="1"/>
  <c r="K22" i="3" s="1"/>
  <c r="H22" i="3"/>
  <c r="I22" i="3" s="1"/>
  <c r="B22" i="4"/>
  <c r="M21" i="4"/>
  <c r="L22" i="3" l="1"/>
  <c r="N22" i="3"/>
  <c r="C22" i="4"/>
  <c r="D22" i="4" s="1"/>
  <c r="F22" i="4" s="1"/>
  <c r="J22" i="4"/>
  <c r="G22" i="4" l="1"/>
  <c r="H22" i="4"/>
  <c r="I22" i="4" s="1"/>
  <c r="B23" i="3"/>
  <c r="M22" i="3"/>
  <c r="C23" i="3" l="1"/>
  <c r="D23" i="3" s="1"/>
  <c r="F23" i="3" s="1"/>
  <c r="J23" i="3"/>
  <c r="K22" i="4"/>
  <c r="G23" i="3" l="1"/>
  <c r="H23" i="3"/>
  <c r="I23" i="3" s="1"/>
  <c r="N22" i="4"/>
  <c r="L22" i="4"/>
  <c r="K23" i="3" l="1"/>
  <c r="B23" i="4"/>
  <c r="M22" i="4"/>
  <c r="N23" i="3" l="1"/>
  <c r="L23" i="3"/>
  <c r="C23" i="4"/>
  <c r="D23" i="4" s="1"/>
  <c r="F23" i="4" s="1"/>
  <c r="J23" i="4"/>
  <c r="G23" i="4" l="1"/>
  <c r="K23" i="4" s="1"/>
  <c r="H23" i="4"/>
  <c r="I23" i="4" s="1"/>
  <c r="B24" i="3"/>
  <c r="M23" i="3"/>
  <c r="L23" i="4" l="1"/>
  <c r="N23" i="4"/>
  <c r="C24" i="3"/>
  <c r="D24" i="3" s="1"/>
  <c r="F24" i="3" s="1"/>
  <c r="J24" i="3"/>
  <c r="G24" i="3" l="1"/>
  <c r="H24" i="3"/>
  <c r="I24" i="3" s="1"/>
  <c r="B24" i="4"/>
  <c r="M23" i="4"/>
  <c r="C24" i="4" l="1"/>
  <c r="D24" i="4" s="1"/>
  <c r="F24" i="4" s="1"/>
  <c r="J24" i="4"/>
  <c r="K24" i="3"/>
  <c r="G24" i="4" l="1"/>
  <c r="K24" i="4" s="1"/>
  <c r="H24" i="4"/>
  <c r="I24" i="4" s="1"/>
  <c r="N24" i="3"/>
  <c r="L24" i="3"/>
  <c r="L24" i="4" l="1"/>
  <c r="B25" i="4" s="1"/>
  <c r="M24" i="4"/>
  <c r="N24" i="4"/>
  <c r="B25" i="3"/>
  <c r="M24" i="3"/>
  <c r="J25" i="4" l="1"/>
  <c r="C25" i="4"/>
  <c r="D25" i="4" s="1"/>
  <c r="F25" i="4" s="1"/>
  <c r="C25" i="3"/>
  <c r="D25" i="3" s="1"/>
  <c r="F25" i="3" s="1"/>
  <c r="J25" i="3"/>
  <c r="G25" i="4" l="1"/>
  <c r="K25" i="4" s="1"/>
  <c r="H25" i="4"/>
  <c r="I25" i="4" s="1"/>
  <c r="G25" i="3"/>
  <c r="K25" i="3" s="1"/>
  <c r="H25" i="3"/>
  <c r="I25" i="3" s="1"/>
  <c r="L25" i="4" l="1"/>
  <c r="B26" i="4" s="1"/>
  <c r="N25" i="4"/>
  <c r="M25" i="4"/>
  <c r="L25" i="3"/>
  <c r="N25" i="3"/>
  <c r="J26" i="4" l="1"/>
  <c r="C26" i="4"/>
  <c r="D26" i="4" s="1"/>
  <c r="F26" i="4" s="1"/>
  <c r="B26" i="3"/>
  <c r="M25" i="3"/>
  <c r="G26" i="4" l="1"/>
  <c r="H26" i="4"/>
  <c r="I26" i="4" s="1"/>
  <c r="C26" i="3"/>
  <c r="D26" i="3" s="1"/>
  <c r="F26" i="3" s="1"/>
  <c r="J26" i="3"/>
  <c r="G26" i="3" l="1"/>
  <c r="H26" i="3"/>
  <c r="I26" i="3" s="1"/>
  <c r="K26" i="4"/>
  <c r="M26" i="4" l="1"/>
  <c r="N26" i="4"/>
  <c r="L26" i="4"/>
  <c r="B27" i="4" s="1"/>
  <c r="K26" i="3"/>
  <c r="J27" i="4" l="1"/>
  <c r="C27" i="4"/>
  <c r="D27" i="4" s="1"/>
  <c r="F27" i="4" s="1"/>
  <c r="N26" i="3"/>
  <c r="L26" i="3"/>
  <c r="G27" i="4" l="1"/>
  <c r="K27" i="4" s="1"/>
  <c r="H27" i="4"/>
  <c r="I27" i="4" s="1"/>
  <c r="B27" i="3"/>
  <c r="M26" i="3"/>
  <c r="L27" i="4" l="1"/>
  <c r="N27" i="4"/>
  <c r="C27" i="3"/>
  <c r="D27" i="3" s="1"/>
  <c r="F27" i="3" s="1"/>
  <c r="J27" i="3"/>
  <c r="G27" i="3" l="1"/>
  <c r="H27" i="3"/>
  <c r="I27" i="3" s="1"/>
  <c r="B28" i="4"/>
  <c r="M27" i="4"/>
  <c r="C28" i="4" l="1"/>
  <c r="D28" i="4" s="1"/>
  <c r="F28" i="4" s="1"/>
  <c r="J28" i="4"/>
  <c r="K27" i="3"/>
  <c r="G28" i="4" l="1"/>
  <c r="H28" i="4"/>
  <c r="I28" i="4" s="1"/>
  <c r="N27" i="3"/>
  <c r="M27" i="3"/>
  <c r="L27" i="3"/>
  <c r="B28" i="3" s="1"/>
  <c r="J28" i="3" l="1"/>
  <c r="C28" i="3"/>
  <c r="D28" i="3" s="1"/>
  <c r="F28" i="3" s="1"/>
  <c r="K28" i="4"/>
  <c r="G28" i="3" l="1"/>
  <c r="H28" i="3"/>
  <c r="I28" i="3" s="1"/>
  <c r="N28" i="4"/>
  <c r="L28" i="4"/>
  <c r="K28" i="3" l="1"/>
  <c r="B29" i="4"/>
  <c r="M28" i="4"/>
  <c r="M28" i="3" l="1"/>
  <c r="N28" i="3"/>
  <c r="L28" i="3"/>
  <c r="B29" i="3" s="1"/>
  <c r="C29" i="4"/>
  <c r="D29" i="4" s="1"/>
  <c r="F29" i="4" s="1"/>
  <c r="J29" i="4"/>
  <c r="J29" i="3" l="1"/>
  <c r="C29" i="3"/>
  <c r="D29" i="3" s="1"/>
  <c r="F29" i="3" s="1"/>
  <c r="G29" i="4"/>
  <c r="H29" i="4"/>
  <c r="I29" i="4" s="1"/>
  <c r="G29" i="3" l="1"/>
  <c r="H29" i="3"/>
  <c r="I29" i="3" s="1"/>
  <c r="K29" i="4"/>
  <c r="N29" i="4" l="1"/>
  <c r="L29" i="4"/>
  <c r="K29" i="3"/>
  <c r="N29" i="3" l="1"/>
  <c r="L29" i="3"/>
  <c r="B30" i="4"/>
  <c r="M29" i="4"/>
  <c r="C8" i="1" l="1"/>
  <c r="C9" i="1"/>
  <c r="C30" i="4"/>
  <c r="D30" i="4" s="1"/>
  <c r="F30" i="4" s="1"/>
  <c r="J30" i="4"/>
  <c r="B30" i="3"/>
  <c r="M29" i="3"/>
  <c r="G30" i="4" l="1"/>
  <c r="H30" i="4"/>
  <c r="I30" i="4" s="1"/>
  <c r="B9" i="1"/>
  <c r="B8" i="1"/>
  <c r="C30" i="3"/>
  <c r="D30" i="3" s="1"/>
  <c r="F30" i="3" s="1"/>
  <c r="J30" i="3"/>
  <c r="G30" i="3" l="1"/>
  <c r="H30" i="3"/>
  <c r="I30" i="3" s="1"/>
  <c r="K30" i="4"/>
  <c r="N30" i="4" l="1"/>
  <c r="C7" i="1" s="1"/>
  <c r="L30" i="4"/>
  <c r="M30" i="4" s="1"/>
  <c r="C10" i="1" s="1"/>
  <c r="K30" i="3"/>
  <c r="N30" i="3" l="1"/>
  <c r="L30" i="3"/>
  <c r="M30" i="3" s="1"/>
  <c r="B10" i="1" s="1"/>
</calcChain>
</file>

<file path=xl/sharedStrings.xml><?xml version="1.0" encoding="utf-8"?>
<sst xmlns="http://schemas.openxmlformats.org/spreadsheetml/2006/main" count="96" uniqueCount="62">
  <si>
    <t>Summary: can players survive and afford expansions?</t>
  </si>
  <si>
    <t>Measure</t>
  </si>
  <si>
    <t>Low</t>
  </si>
  <si>
    <t>Mid</t>
  </si>
  <si>
    <t>High</t>
  </si>
  <si>
    <t>Week 1 income (€)</t>
  </si>
  <si>
    <t>Week 1 rent (€)</t>
  </si>
  <si>
    <t>Week 1 cash left after rent (€)</t>
  </si>
  <si>
    <t>First failed week</t>
  </si>
  <si>
    <t>Tier 2 active from week</t>
  </si>
  <si>
    <t>Tier 3 active from week</t>
  </si>
  <si>
    <t>Cash at end of week 26 (€)</t>
  </si>
  <si>
    <t>Charity Shop Simulator: economy balance model</t>
  </si>
  <si>
    <t>Legend: blue text on yellow = editable input. Everything else is a formula. Change inputs and all sheets recalculate.</t>
  </si>
  <si>
    <t>Player skill scenario</t>
  </si>
  <si>
    <t>Average selling multiplier (0.5 to 2.5)</t>
  </si>
  <si>
    <t>Average patience multiplier (0.5 to 1.5)</t>
  </si>
  <si>
    <t>Share of items that get cleaned</t>
  </si>
  <si>
    <t>Share of customers who find an item in stock</t>
  </si>
  <si>
    <t>Scenario values are my assumptions about how well the player plays; replace them with real playtest averages.</t>
  </si>
  <si>
    <t>General inputs</t>
  </si>
  <si>
    <t>Value</t>
  </si>
  <si>
    <t>Days per week</t>
  </si>
  <si>
    <t>Starting cash (€)</t>
  </si>
  <si>
    <t>Rent in week 1 (€)</t>
  </si>
  <si>
    <t>Tuned value (GDD currently says €150 and +€50)</t>
  </si>
  <si>
    <t>Rent increase per week (€)</t>
  </si>
  <si>
    <t>Extra customers per day for each week after week 1</t>
  </si>
  <si>
    <t>Average baseline price of an item (€)</t>
  </si>
  <si>
    <t>Mean of plates 5, books 1, t-shirts 7, balls 3 (assumes equal mix of items sold)</t>
  </si>
  <si>
    <t>Average cleaning score of a cleaned item (1.0 to 2.0)</t>
  </si>
  <si>
    <t>Cleaning supplies cost per use (€)</t>
  </si>
  <si>
    <t>€15 per 5 uses, from the GDD</t>
  </si>
  <si>
    <t>Free cleaning uses at start (week 1 only)</t>
  </si>
  <si>
    <t>From the GDD</t>
  </si>
  <si>
    <t>Cash to keep in reserve after buying an expansion (€)</t>
  </si>
  <si>
    <t>Max customers per day the player can serve in the time limit</t>
  </si>
  <si>
    <t>Assumption: about 3 minutes / 14 customers; this cap is what lets rent eventually beat income</t>
  </si>
  <si>
    <t>Shop tier</t>
  </si>
  <si>
    <t>Unlock week</t>
  </si>
  <si>
    <t>Cost (€)</t>
  </si>
  <si>
    <t>Extra rent per week (€)</t>
  </si>
  <si>
    <t>Base customers per day</t>
  </si>
  <si>
    <t>Expansion is bought at the end of a week once the unlock week is reached and cash covers the cost plus the reserve. The new tier applies from the next week.</t>
  </si>
  <si>
    <t>Model simplifications: every customer buys exactly one item; income is averaged per week; no rent cards, card penalties or damaged decorations; mess penalty ignored.</t>
  </si>
  <si>
    <t>Low skill scenario: 26-week projection</t>
  </si>
  <si>
    <t>All cells are formulas driven by the Inputs sheet. Status FAIL means cash after paying rent is negative (run ends).</t>
  </si>
  <si>
    <t>Week</t>
  </si>
  <si>
    <t>Customers per day</t>
  </si>
  <si>
    <t>Customers per week</t>
  </si>
  <si>
    <t>Average sale (€)</t>
  </si>
  <si>
    <t>Items sold</t>
  </si>
  <si>
    <t>Income (€)</t>
  </si>
  <si>
    <t>Cleaning uses</t>
  </si>
  <si>
    <t>Supplies cost (€)</t>
  </si>
  <si>
    <t>Rent due (€)</t>
  </si>
  <si>
    <t>Cash after rent (€)</t>
  </si>
  <si>
    <t>Expansion bought (€)</t>
  </si>
  <si>
    <t>Cash at week end (€)</t>
  </si>
  <si>
    <t>Status</t>
  </si>
  <si>
    <t>Mid skill scenario: 26-week projection</t>
  </si>
  <si>
    <t>High skill scenario: 26-week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</si>
</sst>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€#,##0"/>
    <numFmt numFmtId="165" formatCode="\€#,##0;[Red]&quot;-€&quot;#,##0"/>
    <numFmt numFmtId="166" formatCode="\€0.00"/>
    <numFmt numFmtId="167" formatCode="0.0"/>
    <numFmt numFmtId="168" formatCode="\€#,##0;;\-"/>
  </numFmts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99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" fontId="3" fillId="0" borderId="0" xfId="0" applyNumberFormat="1" applyFont="1"/>
    <xf numFmtId="2" fontId="4" fillId="3" borderId="0" xfId="0" applyNumberFormat="1" applyFont="1" applyFill="1"/>
    <xf numFmtId="9" fontId="4" fillId="3" borderId="0" xfId="0" applyNumberFormat="1" applyFont="1" applyFill="1"/>
    <xf numFmtId="1" fontId="4" fillId="3" borderId="0" xfId="0" applyNumberFormat="1" applyFont="1" applyFill="1"/>
    <xf numFmtId="164" fontId="4" fillId="3" borderId="0" xfId="0" applyNumberFormat="1" applyFont="1" applyFill="1"/>
    <xf numFmtId="166" fontId="3" fillId="0" borderId="0" xfId="0" applyNumberFormat="1" applyFont="1"/>
    <xf numFmtId="0" fontId="2" fillId="2" borderId="0" xfId="0" applyFont="1" applyFill="1" applyAlignment="1">
      <alignment horizontal="center" wrapText="1"/>
    </xf>
    <xf numFmtId="167" fontId="3" fillId="0" borderId="0" xfId="0" applyNumberFormat="1" applyFont="1"/>
    <xf numFmtId="168" fontId="3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Normal="100" workbookViewId="0"/>
  </sheetViews>
  <sheetFormatPr defaultColWidth="8.6640625" defaultRowHeight="14.4" x14ac:dyDescent="0.3"/>
  <cols>
    <col min="1" max="1" width="36" customWidth="1"/>
    <col min="2" max="4" width="16" customWidth="1"/>
  </cols>
  <sheetData>
    <row r="1" spans="1:4" ht="17.399999999999999" x14ac:dyDescent="0.3">
      <c r="A1" s="1" t="s">
        <v>0</v>
      </c>
    </row>
    <row r="3" spans="1:4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3" t="s">
        <v>5</v>
      </c>
      <c r="B4" s="4">
        <f>Low!G5</f>
        <v>106.02900000000001</v>
      </c>
      <c r="C4" s="4">
        <f>Mid!G5</f>
        <v>191.51999999999998</v>
      </c>
      <c r="D4" s="4">
        <f>High!G5</f>
        <v>300.30000000000007</v>
      </c>
    </row>
    <row r="5" spans="1:4" x14ac:dyDescent="0.3">
      <c r="A5" s="3" t="s">
        <v>6</v>
      </c>
      <c r="B5" s="4">
        <f>Low!J5</f>
        <v>130</v>
      </c>
      <c r="C5" s="4">
        <f>Mid!J5</f>
        <v>130</v>
      </c>
      <c r="D5" s="4">
        <f>High!J5</f>
        <v>130</v>
      </c>
    </row>
    <row r="6" spans="1:4" x14ac:dyDescent="0.3">
      <c r="A6" s="3" t="s">
        <v>7</v>
      </c>
      <c r="B6" s="5">
        <f>Low!K5</f>
        <v>-23.970999999999989</v>
      </c>
      <c r="C6" s="5">
        <f>Mid!K5</f>
        <v>45.619999999999976</v>
      </c>
      <c r="D6" s="5">
        <f>High!K5</f>
        <v>131.30000000000007</v>
      </c>
    </row>
    <row r="7" spans="1:4" x14ac:dyDescent="0.3">
      <c r="A7" s="3" t="s">
        <v>8</v>
      </c>
      <c r="B7" s="6">
        <f>IFERROR(MATCH("FAIL",Low!N5:N30,0),"none in 26 wks")</f>
        <v>1</v>
      </c>
      <c r="C7" s="6">
        <f>IFERROR(MATCH("FAIL",Mid!N5:N30,0),"none in 26 wks")</f>
        <v>11</v>
      </c>
      <c r="D7" s="6">
        <f>IFERROR(MATCH("FAIL",High!N5:N30,0),"none in 26 wks")</f>
        <v>24</v>
      </c>
    </row>
    <row r="8" spans="1:4" x14ac:dyDescent="0.3">
      <c r="A8" s="3" t="s">
        <v>9</v>
      </c>
      <c r="B8" s="6" t="str">
        <f>IFERROR(MATCH(2,Low!B5:B30,0),"never")</f>
        <v>never</v>
      </c>
      <c r="C8" s="6">
        <f>IFERROR(MATCH(2,Mid!B5:B30,0),"never")</f>
        <v>7</v>
      </c>
      <c r="D8" s="6">
        <f>IFERROR(MATCH(2,High!B5:B30,0),"never")</f>
        <v>4</v>
      </c>
    </row>
    <row r="9" spans="1:4" x14ac:dyDescent="0.3">
      <c r="A9" s="3" t="s">
        <v>10</v>
      </c>
      <c r="B9" s="6" t="str">
        <f>IFERROR(MATCH(3,Low!B5:B30,0),"never")</f>
        <v>never</v>
      </c>
      <c r="C9" s="6" t="str">
        <f>IFERROR(MATCH(3,Mid!B5:B30,0),"never")</f>
        <v>never</v>
      </c>
      <c r="D9" s="6">
        <f>IFERROR(MATCH(3,High!B5:B30,0),"never")</f>
        <v>7</v>
      </c>
    </row>
    <row r="10" spans="1:4" x14ac:dyDescent="0.3">
      <c r="A10" s="3" t="s">
        <v>11</v>
      </c>
      <c r="B10" s="5">
        <f>Low!M30</f>
        <v>-7486.3297999999977</v>
      </c>
      <c r="C10" s="5">
        <f>Mid!M30</f>
        <v>-4600.7000000000007</v>
      </c>
      <c r="D10" s="5">
        <f>High!M30</f>
        <v>-884.35999999999797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opLeftCell="A14" zoomScaleNormal="100" workbookViewId="0">
      <selection activeCell="E33" sqref="E33"/>
    </sheetView>
  </sheetViews>
  <sheetFormatPr defaultColWidth="8.6640625" defaultRowHeight="14.4" x14ac:dyDescent="0.3"/>
  <cols>
    <col min="1" max="1" width="58" customWidth="1"/>
    <col min="2" max="3" width="14" customWidth="1"/>
    <col min="4" max="4" width="23.44140625" bestFit="1" customWidth="1"/>
    <col min="5" max="5" width="24" customWidth="1"/>
  </cols>
  <sheetData>
    <row r="1" spans="1:4" ht="17.399999999999999" x14ac:dyDescent="0.3">
      <c r="A1" s="1" t="s">
        <v>12</v>
      </c>
    </row>
    <row r="2" spans="1:4" x14ac:dyDescent="0.3">
      <c r="A2" s="3" t="s">
        <v>13</v>
      </c>
    </row>
    <row r="4" spans="1:4" x14ac:dyDescent="0.3">
      <c r="A4" s="2" t="s">
        <v>14</v>
      </c>
      <c r="B4" s="2" t="s">
        <v>2</v>
      </c>
      <c r="C4" s="2" t="s">
        <v>3</v>
      </c>
      <c r="D4" s="2" t="s">
        <v>4</v>
      </c>
    </row>
    <row r="5" spans="1:4" x14ac:dyDescent="0.3">
      <c r="A5" s="3" t="s">
        <v>15</v>
      </c>
      <c r="B5" s="7">
        <v>0.9</v>
      </c>
      <c r="C5" s="7">
        <v>1.2</v>
      </c>
      <c r="D5" s="7">
        <v>1.5</v>
      </c>
    </row>
    <row r="6" spans="1:4" x14ac:dyDescent="0.3">
      <c r="A6" s="3" t="s">
        <v>16</v>
      </c>
      <c r="B6" s="7">
        <v>0.9</v>
      </c>
      <c r="C6" s="7">
        <v>1</v>
      </c>
      <c r="D6" s="7">
        <v>1.1000000000000001</v>
      </c>
    </row>
    <row r="7" spans="1:4" x14ac:dyDescent="0.3">
      <c r="A7" s="3" t="s">
        <v>17</v>
      </c>
      <c r="B7" s="8">
        <v>0.2</v>
      </c>
      <c r="C7" s="8">
        <v>0.4</v>
      </c>
      <c r="D7" s="8">
        <v>0.6</v>
      </c>
    </row>
    <row r="8" spans="1:4" x14ac:dyDescent="0.3">
      <c r="A8" s="3" t="s">
        <v>18</v>
      </c>
      <c r="B8" s="8">
        <v>0.85</v>
      </c>
      <c r="C8" s="8">
        <v>0.95</v>
      </c>
      <c r="D8" s="8">
        <v>1</v>
      </c>
    </row>
    <row r="10" spans="1:4" x14ac:dyDescent="0.3">
      <c r="A10" s="3" t="s">
        <v>19</v>
      </c>
    </row>
    <row r="12" spans="1:4" x14ac:dyDescent="0.3">
      <c r="A12" s="2" t="s">
        <v>20</v>
      </c>
      <c r="B12" s="2" t="s">
        <v>21</v>
      </c>
    </row>
    <row r="13" spans="1:4" x14ac:dyDescent="0.3">
      <c r="A13" s="3" t="s">
        <v>22</v>
      </c>
      <c r="B13" s="9">
        <v>7</v>
      </c>
    </row>
    <row r="14" spans="1:4" x14ac:dyDescent="0.3">
      <c r="A14" s="3" t="s">
        <v>23</v>
      </c>
      <c r="B14" s="10">
        <v>0</v>
      </c>
    </row>
    <row r="15" spans="1:4" x14ac:dyDescent="0.3">
      <c r="A15" s="3" t="s">
        <v>24</v>
      </c>
      <c r="B15" s="10">
        <v>130</v>
      </c>
      <c r="C15" s="3" t="s">
        <v>25</v>
      </c>
    </row>
    <row r="16" spans="1:4" x14ac:dyDescent="0.3">
      <c r="A16" s="3" t="s">
        <v>26</v>
      </c>
      <c r="B16" s="10">
        <v>30</v>
      </c>
    </row>
    <row r="17" spans="1:5" x14ac:dyDescent="0.3">
      <c r="A17" s="3" t="s">
        <v>27</v>
      </c>
      <c r="B17" s="9">
        <v>1</v>
      </c>
    </row>
    <row r="18" spans="1:5" x14ac:dyDescent="0.3">
      <c r="A18" s="3" t="s">
        <v>28</v>
      </c>
      <c r="B18" s="11">
        <f>AVERAGE(5,1,7,3)</f>
        <v>4</v>
      </c>
      <c r="C18" s="3" t="s">
        <v>29</v>
      </c>
    </row>
    <row r="19" spans="1:5" x14ac:dyDescent="0.3">
      <c r="A19" s="3" t="s">
        <v>30</v>
      </c>
      <c r="B19" s="7">
        <v>1.5</v>
      </c>
    </row>
    <row r="20" spans="1:5" x14ac:dyDescent="0.3">
      <c r="A20" s="3" t="s">
        <v>31</v>
      </c>
      <c r="B20" s="11">
        <f>15/5</f>
        <v>3</v>
      </c>
      <c r="C20" s="3" t="s">
        <v>32</v>
      </c>
    </row>
    <row r="21" spans="1:5" x14ac:dyDescent="0.3">
      <c r="A21" s="3" t="s">
        <v>33</v>
      </c>
      <c r="B21" s="9">
        <v>8</v>
      </c>
      <c r="C21" s="3" t="s">
        <v>34</v>
      </c>
    </row>
    <row r="22" spans="1:5" x14ac:dyDescent="0.3">
      <c r="A22" s="3" t="s">
        <v>35</v>
      </c>
      <c r="B22" s="10">
        <v>0</v>
      </c>
    </row>
    <row r="23" spans="1:5" x14ac:dyDescent="0.3">
      <c r="A23" s="3" t="s">
        <v>36</v>
      </c>
      <c r="B23" s="9">
        <v>14</v>
      </c>
      <c r="C23" s="3" t="s">
        <v>37</v>
      </c>
    </row>
    <row r="25" spans="1:5" x14ac:dyDescent="0.3">
      <c r="A25" s="2" t="s">
        <v>38</v>
      </c>
      <c r="B25" s="2" t="s">
        <v>39</v>
      </c>
      <c r="C25" s="2" t="s">
        <v>40</v>
      </c>
      <c r="D25" s="2" t="s">
        <v>41</v>
      </c>
      <c r="E25" s="2" t="s">
        <v>42</v>
      </c>
    </row>
    <row r="26" spans="1:5" x14ac:dyDescent="0.3">
      <c r="A26" s="6">
        <v>1</v>
      </c>
      <c r="B26" s="9">
        <v>1</v>
      </c>
      <c r="C26" s="10">
        <v>0</v>
      </c>
      <c r="D26" s="10">
        <v>0</v>
      </c>
      <c r="E26" s="9">
        <v>5</v>
      </c>
    </row>
    <row r="27" spans="1:5" x14ac:dyDescent="0.3">
      <c r="A27" s="6">
        <v>2</v>
      </c>
      <c r="B27" s="9">
        <v>3</v>
      </c>
      <c r="C27" s="10">
        <v>150</v>
      </c>
      <c r="D27" s="10">
        <v>60</v>
      </c>
      <c r="E27" s="9">
        <v>8</v>
      </c>
    </row>
    <row r="28" spans="1:5" x14ac:dyDescent="0.3">
      <c r="A28" s="6">
        <v>3</v>
      </c>
      <c r="B28" s="9">
        <v>6</v>
      </c>
      <c r="C28" s="10">
        <v>300</v>
      </c>
      <c r="D28" s="10">
        <v>90</v>
      </c>
      <c r="E28" s="9">
        <v>11</v>
      </c>
    </row>
    <row r="30" spans="1:5" x14ac:dyDescent="0.3">
      <c r="A30" s="3" t="s">
        <v>43</v>
      </c>
    </row>
    <row r="31" spans="1:5" x14ac:dyDescent="0.3">
      <c r="A31" s="3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"/>
  <sheetViews>
    <sheetView zoomScaleNormal="100" workbookViewId="0"/>
  </sheetViews>
  <sheetFormatPr defaultColWidth="8.6640625" defaultRowHeight="14.4" x14ac:dyDescent="0.3"/>
  <cols>
    <col min="1" max="14" width="14" customWidth="1"/>
  </cols>
  <sheetData>
    <row r="1" spans="1:14" ht="17.399999999999999" x14ac:dyDescent="0.3">
      <c r="A1" s="1" t="s">
        <v>45</v>
      </c>
    </row>
    <row r="2" spans="1:14" x14ac:dyDescent="0.3">
      <c r="A2" s="3" t="s">
        <v>46</v>
      </c>
    </row>
    <row r="4" spans="1:14" ht="31.5" customHeight="1" x14ac:dyDescent="0.3">
      <c r="A4" s="12" t="s">
        <v>47</v>
      </c>
      <c r="B4" s="12" t="s">
        <v>38</v>
      </c>
      <c r="C4" s="12" t="s">
        <v>48</v>
      </c>
      <c r="D4" s="12" t="s">
        <v>49</v>
      </c>
      <c r="E4" s="12" t="s">
        <v>50</v>
      </c>
      <c r="F4" s="12" t="s">
        <v>51</v>
      </c>
      <c r="G4" s="12" t="s">
        <v>52</v>
      </c>
      <c r="H4" s="12" t="s">
        <v>53</v>
      </c>
      <c r="I4" s="12" t="s">
        <v>54</v>
      </c>
      <c r="J4" s="12" t="s">
        <v>55</v>
      </c>
      <c r="K4" s="12" t="s">
        <v>56</v>
      </c>
      <c r="L4" s="12" t="s">
        <v>57</v>
      </c>
      <c r="M4" s="12" t="s">
        <v>58</v>
      </c>
      <c r="N4" s="12" t="s">
        <v>59</v>
      </c>
    </row>
    <row r="5" spans="1:14" x14ac:dyDescent="0.3">
      <c r="A5" s="6">
        <v>1</v>
      </c>
      <c r="B5" s="6">
        <v>1</v>
      </c>
      <c r="C5" s="6">
        <f>MIN(INDEX(Inputs!$E$26:$E$28,B5)+(A5-1)*Inputs!$B$17,Inputs!$B$23)</f>
        <v>5</v>
      </c>
      <c r="D5" s="6">
        <f>C5*Inputs!$B$13</f>
        <v>35</v>
      </c>
      <c r="E5" s="11">
        <f>Inputs!$B$18*(1+Inputs!B$7*(Inputs!$B$19-1))*Inputs!B$5*Inputs!B$6</f>
        <v>3.5640000000000005</v>
      </c>
      <c r="F5" s="13">
        <f>D5*Inputs!B$8</f>
        <v>29.75</v>
      </c>
      <c r="G5" s="4">
        <f t="shared" ref="G5:G30" si="0">F5*E5</f>
        <v>106.02900000000001</v>
      </c>
      <c r="H5" s="13">
        <f>F5*Inputs!B$7</f>
        <v>5.95</v>
      </c>
      <c r="I5" s="4">
        <f>MAX(0,H5-IF(A5=1,Inputs!$B$21,0))*Inputs!$B$20</f>
        <v>0</v>
      </c>
      <c r="J5" s="4">
        <f>Inputs!$B$15+(A5-1)*Inputs!$B$16+SUMIF(Inputs!$A$26:$A$28,"&lt;="&amp;B5,Inputs!$D$26:$D$28)</f>
        <v>130</v>
      </c>
      <c r="K5" s="5">
        <f>Inputs!$B$14+G5-I5-J5</f>
        <v>-23.970999999999989</v>
      </c>
      <c r="L5" s="14">
        <f>IF(B5&gt;=COUNT(Inputs!$A$26:$A$28),0,IF(AND(K5&gt;=0,A5&gt;=INDEX(Inputs!$B$26:$B$28,B5+1),K5&gt;=INDEX(Inputs!$C$26:$C$28,B5+1)+Inputs!$B$22),INDEX(Inputs!$C$26:$C$28,B5+1),0))</f>
        <v>0</v>
      </c>
      <c r="M5" s="5">
        <f t="shared" ref="M5:M30" si="1">K5-L5</f>
        <v>-23.970999999999989</v>
      </c>
      <c r="N5" s="15" t="str">
        <f t="shared" ref="N5:N30" si="2">IF(K5&lt;0,"FAIL","OK")</f>
        <v>FAIL</v>
      </c>
    </row>
    <row r="6" spans="1:14" x14ac:dyDescent="0.3">
      <c r="A6" s="6">
        <v>2</v>
      </c>
      <c r="B6" s="6">
        <f t="shared" ref="B6:B30" si="3">B5+IF(L5&gt;0,1,0)</f>
        <v>1</v>
      </c>
      <c r="C6" s="6">
        <f>MIN(INDEX(Inputs!$E$26:$E$28,B6)+(A6-1)*Inputs!$B$17,Inputs!$B$23)</f>
        <v>6</v>
      </c>
      <c r="D6" s="6">
        <f>C6*Inputs!$B$13</f>
        <v>42</v>
      </c>
      <c r="E6" s="11">
        <f>Inputs!$B$18*(1+Inputs!B$7*(Inputs!$B$19-1))*Inputs!B$5*Inputs!B$6</f>
        <v>3.5640000000000005</v>
      </c>
      <c r="F6" s="13">
        <f>D6*Inputs!B$8</f>
        <v>35.699999999999996</v>
      </c>
      <c r="G6" s="4">
        <f t="shared" si="0"/>
        <v>127.23480000000001</v>
      </c>
      <c r="H6" s="13">
        <f>F6*Inputs!B$7</f>
        <v>7.14</v>
      </c>
      <c r="I6" s="4">
        <f>MAX(0,H6-IF(A6=1,Inputs!$B$21,0))*Inputs!$B$20</f>
        <v>21.419999999999998</v>
      </c>
      <c r="J6" s="4">
        <f>Inputs!$B$15+(A6-1)*Inputs!$B$16+SUMIF(Inputs!$A$26:$A$28,"&lt;="&amp;B6,Inputs!$D$26:$D$28)</f>
        <v>160</v>
      </c>
      <c r="K6" s="5">
        <f t="shared" ref="K6:K30" si="4">M5+G6-I6-J6</f>
        <v>-78.156199999999984</v>
      </c>
      <c r="L6" s="14">
        <f>IF(B6&gt;=COUNT(Inputs!$A$26:$A$28),0,IF(AND(K6&gt;=0,A6&gt;=INDEX(Inputs!$B$26:$B$28,B6+1),K6&gt;=INDEX(Inputs!$C$26:$C$28,B6+1)+Inputs!$B$22),INDEX(Inputs!$C$26:$C$28,B6+1),0))</f>
        <v>0</v>
      </c>
      <c r="M6" s="5">
        <f t="shared" si="1"/>
        <v>-78.156199999999984</v>
      </c>
      <c r="N6" s="15" t="str">
        <f t="shared" si="2"/>
        <v>FAIL</v>
      </c>
    </row>
    <row r="7" spans="1:14" x14ac:dyDescent="0.3">
      <c r="A7" s="6">
        <v>3</v>
      </c>
      <c r="B7" s="6">
        <f t="shared" si="3"/>
        <v>1</v>
      </c>
      <c r="C7" s="6">
        <f>MIN(INDEX(Inputs!$E$26:$E$28,B7)+(A7-1)*Inputs!$B$17,Inputs!$B$23)</f>
        <v>7</v>
      </c>
      <c r="D7" s="6">
        <f>C7*Inputs!$B$13</f>
        <v>49</v>
      </c>
      <c r="E7" s="11">
        <f>Inputs!$B$18*(1+Inputs!B$7*(Inputs!$B$19-1))*Inputs!B$5*Inputs!B$6</f>
        <v>3.5640000000000005</v>
      </c>
      <c r="F7" s="13">
        <f>D7*Inputs!B$8</f>
        <v>41.65</v>
      </c>
      <c r="G7" s="4">
        <f t="shared" si="0"/>
        <v>148.44060000000002</v>
      </c>
      <c r="H7" s="13">
        <f>F7*Inputs!B$7</f>
        <v>8.33</v>
      </c>
      <c r="I7" s="4">
        <f>MAX(0,H7-IF(A7=1,Inputs!$B$21,0))*Inputs!$B$20</f>
        <v>24.990000000000002</v>
      </c>
      <c r="J7" s="4">
        <f>Inputs!$B$15+(A7-1)*Inputs!$B$16+SUMIF(Inputs!$A$26:$A$28,"&lt;="&amp;B7,Inputs!$D$26:$D$28)</f>
        <v>190</v>
      </c>
      <c r="K7" s="5">
        <f t="shared" si="4"/>
        <v>-144.70559999999998</v>
      </c>
      <c r="L7" s="14">
        <f>IF(B7&gt;=COUNT(Inputs!$A$26:$A$28),0,IF(AND(K7&gt;=0,A7&gt;=INDEX(Inputs!$B$26:$B$28,B7+1),K7&gt;=INDEX(Inputs!$C$26:$C$28,B7+1)+Inputs!$B$22),INDEX(Inputs!$C$26:$C$28,B7+1),0))</f>
        <v>0</v>
      </c>
      <c r="M7" s="5">
        <f t="shared" si="1"/>
        <v>-144.70559999999998</v>
      </c>
      <c r="N7" s="15" t="str">
        <f t="shared" si="2"/>
        <v>FAIL</v>
      </c>
    </row>
    <row r="8" spans="1:14" x14ac:dyDescent="0.3">
      <c r="A8" s="6">
        <v>4</v>
      </c>
      <c r="B8" s="6">
        <f t="shared" si="3"/>
        <v>1</v>
      </c>
      <c r="C8" s="6">
        <f>MIN(INDEX(Inputs!$E$26:$E$28,B8)+(A8-1)*Inputs!$B$17,Inputs!$B$23)</f>
        <v>8</v>
      </c>
      <c r="D8" s="6">
        <f>C8*Inputs!$B$13</f>
        <v>56</v>
      </c>
      <c r="E8" s="11">
        <f>Inputs!$B$18*(1+Inputs!B$7*(Inputs!$B$19-1))*Inputs!B$5*Inputs!B$6</f>
        <v>3.5640000000000005</v>
      </c>
      <c r="F8" s="13">
        <f>D8*Inputs!B$8</f>
        <v>47.6</v>
      </c>
      <c r="G8" s="4">
        <f t="shared" si="0"/>
        <v>169.64640000000003</v>
      </c>
      <c r="H8" s="13">
        <f>F8*Inputs!B$7</f>
        <v>9.5200000000000014</v>
      </c>
      <c r="I8" s="4">
        <f>MAX(0,H8-IF(A8=1,Inputs!$B$21,0))*Inputs!$B$20</f>
        <v>28.560000000000002</v>
      </c>
      <c r="J8" s="4">
        <f>Inputs!$B$15+(A8-1)*Inputs!$B$16+SUMIF(Inputs!$A$26:$A$28,"&lt;="&amp;B8,Inputs!$D$26:$D$28)</f>
        <v>220</v>
      </c>
      <c r="K8" s="5">
        <f t="shared" si="4"/>
        <v>-223.61919999999995</v>
      </c>
      <c r="L8" s="14">
        <f>IF(B8&gt;=COUNT(Inputs!$A$26:$A$28),0,IF(AND(K8&gt;=0,A8&gt;=INDEX(Inputs!$B$26:$B$28,B8+1),K8&gt;=INDEX(Inputs!$C$26:$C$28,B8+1)+Inputs!$B$22),INDEX(Inputs!$C$26:$C$28,B8+1),0))</f>
        <v>0</v>
      </c>
      <c r="M8" s="5">
        <f t="shared" si="1"/>
        <v>-223.61919999999995</v>
      </c>
      <c r="N8" s="15" t="str">
        <f t="shared" si="2"/>
        <v>FAIL</v>
      </c>
    </row>
    <row r="9" spans="1:14" x14ac:dyDescent="0.3">
      <c r="A9" s="6">
        <v>5</v>
      </c>
      <c r="B9" s="6">
        <f t="shared" si="3"/>
        <v>1</v>
      </c>
      <c r="C9" s="6">
        <f>MIN(INDEX(Inputs!$E$26:$E$28,B9)+(A9-1)*Inputs!$B$17,Inputs!$B$23)</f>
        <v>9</v>
      </c>
      <c r="D9" s="6">
        <f>C9*Inputs!$B$13</f>
        <v>63</v>
      </c>
      <c r="E9" s="11">
        <f>Inputs!$B$18*(1+Inputs!B$7*(Inputs!$B$19-1))*Inputs!B$5*Inputs!B$6</f>
        <v>3.5640000000000005</v>
      </c>
      <c r="F9" s="13">
        <f>D9*Inputs!B$8</f>
        <v>53.55</v>
      </c>
      <c r="G9" s="4">
        <f t="shared" si="0"/>
        <v>190.85220000000001</v>
      </c>
      <c r="H9" s="13">
        <f>F9*Inputs!B$7</f>
        <v>10.71</v>
      </c>
      <c r="I9" s="4">
        <f>MAX(0,H9-IF(A9=1,Inputs!$B$21,0))*Inputs!$B$20</f>
        <v>32.130000000000003</v>
      </c>
      <c r="J9" s="4">
        <f>Inputs!$B$15+(A9-1)*Inputs!$B$16+SUMIF(Inputs!$A$26:$A$28,"&lt;="&amp;B9,Inputs!$D$26:$D$28)</f>
        <v>250</v>
      </c>
      <c r="K9" s="5">
        <f t="shared" si="4"/>
        <v>-314.89699999999993</v>
      </c>
      <c r="L9" s="14">
        <f>IF(B9&gt;=COUNT(Inputs!$A$26:$A$28),0,IF(AND(K9&gt;=0,A9&gt;=INDEX(Inputs!$B$26:$B$28,B9+1),K9&gt;=INDEX(Inputs!$C$26:$C$28,B9+1)+Inputs!$B$22),INDEX(Inputs!$C$26:$C$28,B9+1),0))</f>
        <v>0</v>
      </c>
      <c r="M9" s="5">
        <f t="shared" si="1"/>
        <v>-314.89699999999993</v>
      </c>
      <c r="N9" s="15" t="str">
        <f t="shared" si="2"/>
        <v>FAIL</v>
      </c>
    </row>
    <row r="10" spans="1:14" x14ac:dyDescent="0.3">
      <c r="A10" s="6">
        <v>6</v>
      </c>
      <c r="B10" s="6">
        <f t="shared" si="3"/>
        <v>1</v>
      </c>
      <c r="C10" s="6">
        <f>MIN(INDEX(Inputs!$E$26:$E$28,B10)+(A10-1)*Inputs!$B$17,Inputs!$B$23)</f>
        <v>10</v>
      </c>
      <c r="D10" s="6">
        <f>C10*Inputs!$B$13</f>
        <v>70</v>
      </c>
      <c r="E10" s="11">
        <f>Inputs!$B$18*(1+Inputs!B$7*(Inputs!$B$19-1))*Inputs!B$5*Inputs!B$6</f>
        <v>3.5640000000000005</v>
      </c>
      <c r="F10" s="13">
        <f>D10*Inputs!B$8</f>
        <v>59.5</v>
      </c>
      <c r="G10" s="4">
        <f t="shared" si="0"/>
        <v>212.05800000000002</v>
      </c>
      <c r="H10" s="13">
        <f>F10*Inputs!B$7</f>
        <v>11.9</v>
      </c>
      <c r="I10" s="4">
        <f>MAX(0,H10-IF(A10=1,Inputs!$B$21,0))*Inputs!$B$20</f>
        <v>35.700000000000003</v>
      </c>
      <c r="J10" s="4">
        <f>Inputs!$B$15+(A10-1)*Inputs!$B$16+SUMIF(Inputs!$A$26:$A$28,"&lt;="&amp;B10,Inputs!$D$26:$D$28)</f>
        <v>280</v>
      </c>
      <c r="K10" s="5">
        <f t="shared" si="4"/>
        <v>-418.53899999999993</v>
      </c>
      <c r="L10" s="14">
        <f>IF(B10&gt;=COUNT(Inputs!$A$26:$A$28),0,IF(AND(K10&gt;=0,A10&gt;=INDEX(Inputs!$B$26:$B$28,B10+1),K10&gt;=INDEX(Inputs!$C$26:$C$28,B10+1)+Inputs!$B$22),INDEX(Inputs!$C$26:$C$28,B10+1),0))</f>
        <v>0</v>
      </c>
      <c r="M10" s="5">
        <f t="shared" si="1"/>
        <v>-418.53899999999993</v>
      </c>
      <c r="N10" s="15" t="str">
        <f t="shared" si="2"/>
        <v>FAIL</v>
      </c>
    </row>
    <row r="11" spans="1:14" x14ac:dyDescent="0.3">
      <c r="A11" s="6">
        <v>7</v>
      </c>
      <c r="B11" s="6">
        <f t="shared" si="3"/>
        <v>1</v>
      </c>
      <c r="C11" s="6">
        <f>MIN(INDEX(Inputs!$E$26:$E$28,B11)+(A11-1)*Inputs!$B$17,Inputs!$B$23)</f>
        <v>11</v>
      </c>
      <c r="D11" s="6">
        <f>C11*Inputs!$B$13</f>
        <v>77</v>
      </c>
      <c r="E11" s="11">
        <f>Inputs!$B$18*(1+Inputs!B$7*(Inputs!$B$19-1))*Inputs!B$5*Inputs!B$6</f>
        <v>3.5640000000000005</v>
      </c>
      <c r="F11" s="13">
        <f>D11*Inputs!B$8</f>
        <v>65.45</v>
      </c>
      <c r="G11" s="4">
        <f t="shared" si="0"/>
        <v>233.26380000000003</v>
      </c>
      <c r="H11" s="13">
        <f>F11*Inputs!B$7</f>
        <v>13.090000000000002</v>
      </c>
      <c r="I11" s="4">
        <f>MAX(0,H11-IF(A11=1,Inputs!$B$21,0))*Inputs!$B$20</f>
        <v>39.270000000000003</v>
      </c>
      <c r="J11" s="4">
        <f>Inputs!$B$15+(A11-1)*Inputs!$B$16+SUMIF(Inputs!$A$26:$A$28,"&lt;="&amp;B11,Inputs!$D$26:$D$28)</f>
        <v>310</v>
      </c>
      <c r="K11" s="5">
        <f t="shared" si="4"/>
        <v>-534.54519999999991</v>
      </c>
      <c r="L11" s="14">
        <f>IF(B11&gt;=COUNT(Inputs!$A$26:$A$28),0,IF(AND(K11&gt;=0,A11&gt;=INDEX(Inputs!$B$26:$B$28,B11+1),K11&gt;=INDEX(Inputs!$C$26:$C$28,B11+1)+Inputs!$B$22),INDEX(Inputs!$C$26:$C$28,B11+1),0))</f>
        <v>0</v>
      </c>
      <c r="M11" s="5">
        <f t="shared" si="1"/>
        <v>-534.54519999999991</v>
      </c>
      <c r="N11" s="15" t="str">
        <f t="shared" si="2"/>
        <v>FAIL</v>
      </c>
    </row>
    <row r="12" spans="1:14" x14ac:dyDescent="0.3">
      <c r="A12" s="6">
        <v>8</v>
      </c>
      <c r="B12" s="6">
        <f t="shared" si="3"/>
        <v>1</v>
      </c>
      <c r="C12" s="6">
        <f>MIN(INDEX(Inputs!$E$26:$E$28,B12)+(A12-1)*Inputs!$B$17,Inputs!$B$23)</f>
        <v>12</v>
      </c>
      <c r="D12" s="6">
        <f>C12*Inputs!$B$13</f>
        <v>84</v>
      </c>
      <c r="E12" s="11">
        <f>Inputs!$B$18*(1+Inputs!B$7*(Inputs!$B$19-1))*Inputs!B$5*Inputs!B$6</f>
        <v>3.5640000000000005</v>
      </c>
      <c r="F12" s="13">
        <f>D12*Inputs!B$8</f>
        <v>71.399999999999991</v>
      </c>
      <c r="G12" s="4">
        <f t="shared" si="0"/>
        <v>254.46960000000001</v>
      </c>
      <c r="H12" s="13">
        <f>F12*Inputs!B$7</f>
        <v>14.28</v>
      </c>
      <c r="I12" s="4">
        <f>MAX(0,H12-IF(A12=1,Inputs!$B$21,0))*Inputs!$B$20</f>
        <v>42.839999999999996</v>
      </c>
      <c r="J12" s="4">
        <f>Inputs!$B$15+(A12-1)*Inputs!$B$16+SUMIF(Inputs!$A$26:$A$28,"&lt;="&amp;B12,Inputs!$D$26:$D$28)</f>
        <v>340</v>
      </c>
      <c r="K12" s="5">
        <f t="shared" si="4"/>
        <v>-662.91559999999981</v>
      </c>
      <c r="L12" s="14">
        <f>IF(B12&gt;=COUNT(Inputs!$A$26:$A$28),0,IF(AND(K12&gt;=0,A12&gt;=INDEX(Inputs!$B$26:$B$28,B12+1),K12&gt;=INDEX(Inputs!$C$26:$C$28,B12+1)+Inputs!$B$22),INDEX(Inputs!$C$26:$C$28,B12+1),0))</f>
        <v>0</v>
      </c>
      <c r="M12" s="5">
        <f t="shared" si="1"/>
        <v>-662.91559999999981</v>
      </c>
      <c r="N12" s="15" t="str">
        <f t="shared" si="2"/>
        <v>FAIL</v>
      </c>
    </row>
    <row r="13" spans="1:14" x14ac:dyDescent="0.3">
      <c r="A13" s="6">
        <v>9</v>
      </c>
      <c r="B13" s="6">
        <f t="shared" si="3"/>
        <v>1</v>
      </c>
      <c r="C13" s="6">
        <f>MIN(INDEX(Inputs!$E$26:$E$28,B13)+(A13-1)*Inputs!$B$17,Inputs!$B$23)</f>
        <v>13</v>
      </c>
      <c r="D13" s="6">
        <f>C13*Inputs!$B$13</f>
        <v>91</v>
      </c>
      <c r="E13" s="11">
        <f>Inputs!$B$18*(1+Inputs!B$7*(Inputs!$B$19-1))*Inputs!B$5*Inputs!B$6</f>
        <v>3.5640000000000005</v>
      </c>
      <c r="F13" s="13">
        <f>D13*Inputs!B$8</f>
        <v>77.349999999999994</v>
      </c>
      <c r="G13" s="4">
        <f t="shared" si="0"/>
        <v>275.67540000000002</v>
      </c>
      <c r="H13" s="13">
        <f>F13*Inputs!B$7</f>
        <v>15.469999999999999</v>
      </c>
      <c r="I13" s="4">
        <f>MAX(0,H13-IF(A13=1,Inputs!$B$21,0))*Inputs!$B$20</f>
        <v>46.41</v>
      </c>
      <c r="J13" s="4">
        <f>Inputs!$B$15+(A13-1)*Inputs!$B$16+SUMIF(Inputs!$A$26:$A$28,"&lt;="&amp;B13,Inputs!$D$26:$D$28)</f>
        <v>370</v>
      </c>
      <c r="K13" s="5">
        <f t="shared" si="4"/>
        <v>-803.65019999999981</v>
      </c>
      <c r="L13" s="14">
        <f>IF(B13&gt;=COUNT(Inputs!$A$26:$A$28),0,IF(AND(K13&gt;=0,A13&gt;=INDEX(Inputs!$B$26:$B$28,B13+1),K13&gt;=INDEX(Inputs!$C$26:$C$28,B13+1)+Inputs!$B$22),INDEX(Inputs!$C$26:$C$28,B13+1),0))</f>
        <v>0</v>
      </c>
      <c r="M13" s="5">
        <f t="shared" si="1"/>
        <v>-803.65019999999981</v>
      </c>
      <c r="N13" s="15" t="str">
        <f t="shared" si="2"/>
        <v>FAIL</v>
      </c>
    </row>
    <row r="14" spans="1:14" x14ac:dyDescent="0.3">
      <c r="A14" s="6">
        <v>10</v>
      </c>
      <c r="B14" s="6">
        <f t="shared" si="3"/>
        <v>1</v>
      </c>
      <c r="C14" s="6">
        <f>MIN(INDEX(Inputs!$E$26:$E$28,B14)+(A14-1)*Inputs!$B$17,Inputs!$B$23)</f>
        <v>14</v>
      </c>
      <c r="D14" s="6">
        <f>C14*Inputs!$B$13</f>
        <v>98</v>
      </c>
      <c r="E14" s="11">
        <f>Inputs!$B$18*(1+Inputs!B$7*(Inputs!$B$19-1))*Inputs!B$5*Inputs!B$6</f>
        <v>3.5640000000000005</v>
      </c>
      <c r="F14" s="13">
        <f>D14*Inputs!B$8</f>
        <v>83.3</v>
      </c>
      <c r="G14" s="4">
        <f t="shared" si="0"/>
        <v>296.88120000000004</v>
      </c>
      <c r="H14" s="13">
        <f>F14*Inputs!B$7</f>
        <v>16.66</v>
      </c>
      <c r="I14" s="4">
        <f>MAX(0,H14-IF(A14=1,Inputs!$B$21,0))*Inputs!$B$20</f>
        <v>49.980000000000004</v>
      </c>
      <c r="J14" s="4">
        <f>Inputs!$B$15+(A14-1)*Inputs!$B$16+SUMIF(Inputs!$A$26:$A$28,"&lt;="&amp;B14,Inputs!$D$26:$D$28)</f>
        <v>400</v>
      </c>
      <c r="K14" s="5">
        <f t="shared" si="4"/>
        <v>-956.7489999999998</v>
      </c>
      <c r="L14" s="14">
        <f>IF(B14&gt;=COUNT(Inputs!$A$26:$A$28),0,IF(AND(K14&gt;=0,A14&gt;=INDEX(Inputs!$B$26:$B$28,B14+1),K14&gt;=INDEX(Inputs!$C$26:$C$28,B14+1)+Inputs!$B$22),INDEX(Inputs!$C$26:$C$28,B14+1),0))</f>
        <v>0</v>
      </c>
      <c r="M14" s="5">
        <f t="shared" si="1"/>
        <v>-956.7489999999998</v>
      </c>
      <c r="N14" s="15" t="str">
        <f t="shared" si="2"/>
        <v>FAIL</v>
      </c>
    </row>
    <row r="15" spans="1:14" x14ac:dyDescent="0.3">
      <c r="A15" s="6">
        <v>11</v>
      </c>
      <c r="B15" s="6">
        <f t="shared" si="3"/>
        <v>1</v>
      </c>
      <c r="C15" s="6">
        <f>MIN(INDEX(Inputs!$E$26:$E$28,B15)+(A15-1)*Inputs!$B$17,Inputs!$B$23)</f>
        <v>14</v>
      </c>
      <c r="D15" s="6">
        <f>C15*Inputs!$B$13</f>
        <v>98</v>
      </c>
      <c r="E15" s="11">
        <f>Inputs!$B$18*(1+Inputs!B$7*(Inputs!$B$19-1))*Inputs!B$5*Inputs!B$6</f>
        <v>3.5640000000000005</v>
      </c>
      <c r="F15" s="13">
        <f>D15*Inputs!B$8</f>
        <v>83.3</v>
      </c>
      <c r="G15" s="4">
        <f t="shared" si="0"/>
        <v>296.88120000000004</v>
      </c>
      <c r="H15" s="13">
        <f>F15*Inputs!B$7</f>
        <v>16.66</v>
      </c>
      <c r="I15" s="4">
        <f>MAX(0,H15-IF(A15=1,Inputs!$B$21,0))*Inputs!$B$20</f>
        <v>49.980000000000004</v>
      </c>
      <c r="J15" s="4">
        <f>Inputs!$B$15+(A15-1)*Inputs!$B$16+SUMIF(Inputs!$A$26:$A$28,"&lt;="&amp;B15,Inputs!$D$26:$D$28)</f>
        <v>430</v>
      </c>
      <c r="K15" s="5">
        <f t="shared" si="4"/>
        <v>-1139.8477999999998</v>
      </c>
      <c r="L15" s="14">
        <f>IF(B15&gt;=COUNT(Inputs!$A$26:$A$28),0,IF(AND(K15&gt;=0,A15&gt;=INDEX(Inputs!$B$26:$B$28,B15+1),K15&gt;=INDEX(Inputs!$C$26:$C$28,B15+1)+Inputs!$B$22),INDEX(Inputs!$C$26:$C$28,B15+1),0))</f>
        <v>0</v>
      </c>
      <c r="M15" s="5">
        <f t="shared" si="1"/>
        <v>-1139.8477999999998</v>
      </c>
      <c r="N15" s="15" t="str">
        <f t="shared" si="2"/>
        <v>FAIL</v>
      </c>
    </row>
    <row r="16" spans="1:14" x14ac:dyDescent="0.3">
      <c r="A16" s="6">
        <v>12</v>
      </c>
      <c r="B16" s="6">
        <f t="shared" si="3"/>
        <v>1</v>
      </c>
      <c r="C16" s="6">
        <f>MIN(INDEX(Inputs!$E$26:$E$28,B16)+(A16-1)*Inputs!$B$17,Inputs!$B$23)</f>
        <v>14</v>
      </c>
      <c r="D16" s="6">
        <f>C16*Inputs!$B$13</f>
        <v>98</v>
      </c>
      <c r="E16" s="11">
        <f>Inputs!$B$18*(1+Inputs!B$7*(Inputs!$B$19-1))*Inputs!B$5*Inputs!B$6</f>
        <v>3.5640000000000005</v>
      </c>
      <c r="F16" s="13">
        <f>D16*Inputs!B$8</f>
        <v>83.3</v>
      </c>
      <c r="G16" s="4">
        <f t="shared" si="0"/>
        <v>296.88120000000004</v>
      </c>
      <c r="H16" s="13">
        <f>F16*Inputs!B$7</f>
        <v>16.66</v>
      </c>
      <c r="I16" s="4">
        <f>MAX(0,H16-IF(A16=1,Inputs!$B$21,0))*Inputs!$B$20</f>
        <v>49.980000000000004</v>
      </c>
      <c r="J16" s="4">
        <f>Inputs!$B$15+(A16-1)*Inputs!$B$16+SUMIF(Inputs!$A$26:$A$28,"&lt;="&amp;B16,Inputs!$D$26:$D$28)</f>
        <v>460</v>
      </c>
      <c r="K16" s="5">
        <f t="shared" si="4"/>
        <v>-1352.9465999999998</v>
      </c>
      <c r="L16" s="14">
        <f>IF(B16&gt;=COUNT(Inputs!$A$26:$A$28),0,IF(AND(K16&gt;=0,A16&gt;=INDEX(Inputs!$B$26:$B$28,B16+1),K16&gt;=INDEX(Inputs!$C$26:$C$28,B16+1)+Inputs!$B$22),INDEX(Inputs!$C$26:$C$28,B16+1),0))</f>
        <v>0</v>
      </c>
      <c r="M16" s="5">
        <f t="shared" si="1"/>
        <v>-1352.9465999999998</v>
      </c>
      <c r="N16" s="15" t="str">
        <f t="shared" si="2"/>
        <v>FAIL</v>
      </c>
    </row>
    <row r="17" spans="1:14" x14ac:dyDescent="0.3">
      <c r="A17" s="6">
        <v>13</v>
      </c>
      <c r="B17" s="6">
        <f t="shared" si="3"/>
        <v>1</v>
      </c>
      <c r="C17" s="6">
        <f>MIN(INDEX(Inputs!$E$26:$E$28,B17)+(A17-1)*Inputs!$B$17,Inputs!$B$23)</f>
        <v>14</v>
      </c>
      <c r="D17" s="6">
        <f>C17*Inputs!$B$13</f>
        <v>98</v>
      </c>
      <c r="E17" s="11">
        <f>Inputs!$B$18*(1+Inputs!B$7*(Inputs!$B$19-1))*Inputs!B$5*Inputs!B$6</f>
        <v>3.5640000000000005</v>
      </c>
      <c r="F17" s="13">
        <f>D17*Inputs!B$8</f>
        <v>83.3</v>
      </c>
      <c r="G17" s="4">
        <f t="shared" si="0"/>
        <v>296.88120000000004</v>
      </c>
      <c r="H17" s="13">
        <f>F17*Inputs!B$7</f>
        <v>16.66</v>
      </c>
      <c r="I17" s="4">
        <f>MAX(0,H17-IF(A17=1,Inputs!$B$21,0))*Inputs!$B$20</f>
        <v>49.980000000000004</v>
      </c>
      <c r="J17" s="4">
        <f>Inputs!$B$15+(A17-1)*Inputs!$B$16+SUMIF(Inputs!$A$26:$A$28,"&lt;="&amp;B17,Inputs!$D$26:$D$28)</f>
        <v>490</v>
      </c>
      <c r="K17" s="5">
        <f t="shared" si="4"/>
        <v>-1596.0453999999997</v>
      </c>
      <c r="L17" s="14">
        <f>IF(B17&gt;=COUNT(Inputs!$A$26:$A$28),0,IF(AND(K17&gt;=0,A17&gt;=INDEX(Inputs!$B$26:$B$28,B17+1),K17&gt;=INDEX(Inputs!$C$26:$C$28,B17+1)+Inputs!$B$22),INDEX(Inputs!$C$26:$C$28,B17+1),0))</f>
        <v>0</v>
      </c>
      <c r="M17" s="5">
        <f t="shared" si="1"/>
        <v>-1596.0453999999997</v>
      </c>
      <c r="N17" s="15" t="str">
        <f t="shared" si="2"/>
        <v>FAIL</v>
      </c>
    </row>
    <row r="18" spans="1:14" x14ac:dyDescent="0.3">
      <c r="A18" s="6">
        <v>14</v>
      </c>
      <c r="B18" s="6">
        <f t="shared" si="3"/>
        <v>1</v>
      </c>
      <c r="C18" s="6">
        <f>MIN(INDEX(Inputs!$E$26:$E$28,B18)+(A18-1)*Inputs!$B$17,Inputs!$B$23)</f>
        <v>14</v>
      </c>
      <c r="D18" s="6">
        <f>C18*Inputs!$B$13</f>
        <v>98</v>
      </c>
      <c r="E18" s="11">
        <f>Inputs!$B$18*(1+Inputs!B$7*(Inputs!$B$19-1))*Inputs!B$5*Inputs!B$6</f>
        <v>3.5640000000000005</v>
      </c>
      <c r="F18" s="13">
        <f>D18*Inputs!B$8</f>
        <v>83.3</v>
      </c>
      <c r="G18" s="4">
        <f t="shared" si="0"/>
        <v>296.88120000000004</v>
      </c>
      <c r="H18" s="13">
        <f>F18*Inputs!B$7</f>
        <v>16.66</v>
      </c>
      <c r="I18" s="4">
        <f>MAX(0,H18-IF(A18=1,Inputs!$B$21,0))*Inputs!$B$20</f>
        <v>49.980000000000004</v>
      </c>
      <c r="J18" s="4">
        <f>Inputs!$B$15+(A18-1)*Inputs!$B$16+SUMIF(Inputs!$A$26:$A$28,"&lt;="&amp;B18,Inputs!$D$26:$D$28)</f>
        <v>520</v>
      </c>
      <c r="K18" s="5">
        <f t="shared" si="4"/>
        <v>-1869.1441999999997</v>
      </c>
      <c r="L18" s="14">
        <f>IF(B18&gt;=COUNT(Inputs!$A$26:$A$28),0,IF(AND(K18&gt;=0,A18&gt;=INDEX(Inputs!$B$26:$B$28,B18+1),K18&gt;=INDEX(Inputs!$C$26:$C$28,B18+1)+Inputs!$B$22),INDEX(Inputs!$C$26:$C$28,B18+1),0))</f>
        <v>0</v>
      </c>
      <c r="M18" s="5">
        <f t="shared" si="1"/>
        <v>-1869.1441999999997</v>
      </c>
      <c r="N18" s="15" t="str">
        <f t="shared" si="2"/>
        <v>FAIL</v>
      </c>
    </row>
    <row r="19" spans="1:14" x14ac:dyDescent="0.3">
      <c r="A19" s="6">
        <v>15</v>
      </c>
      <c r="B19" s="6">
        <f t="shared" si="3"/>
        <v>1</v>
      </c>
      <c r="C19" s="6">
        <f>MIN(INDEX(Inputs!$E$26:$E$28,B19)+(A19-1)*Inputs!$B$17,Inputs!$B$23)</f>
        <v>14</v>
      </c>
      <c r="D19" s="6">
        <f>C19*Inputs!$B$13</f>
        <v>98</v>
      </c>
      <c r="E19" s="11">
        <f>Inputs!$B$18*(1+Inputs!B$7*(Inputs!$B$19-1))*Inputs!B$5*Inputs!B$6</f>
        <v>3.5640000000000005</v>
      </c>
      <c r="F19" s="13">
        <f>D19*Inputs!B$8</f>
        <v>83.3</v>
      </c>
      <c r="G19" s="4">
        <f t="shared" si="0"/>
        <v>296.88120000000004</v>
      </c>
      <c r="H19" s="13">
        <f>F19*Inputs!B$7</f>
        <v>16.66</v>
      </c>
      <c r="I19" s="4">
        <f>MAX(0,H19-IF(A19=1,Inputs!$B$21,0))*Inputs!$B$20</f>
        <v>49.980000000000004</v>
      </c>
      <c r="J19" s="4">
        <f>Inputs!$B$15+(A19-1)*Inputs!$B$16+SUMIF(Inputs!$A$26:$A$28,"&lt;="&amp;B19,Inputs!$D$26:$D$28)</f>
        <v>550</v>
      </c>
      <c r="K19" s="5">
        <f t="shared" si="4"/>
        <v>-2172.2429999999995</v>
      </c>
      <c r="L19" s="14">
        <f>IF(B19&gt;=COUNT(Inputs!$A$26:$A$28),0,IF(AND(K19&gt;=0,A19&gt;=INDEX(Inputs!$B$26:$B$28,B19+1),K19&gt;=INDEX(Inputs!$C$26:$C$28,B19+1)+Inputs!$B$22),INDEX(Inputs!$C$26:$C$28,B19+1),0))</f>
        <v>0</v>
      </c>
      <c r="M19" s="5">
        <f t="shared" si="1"/>
        <v>-2172.2429999999995</v>
      </c>
      <c r="N19" s="15" t="str">
        <f t="shared" si="2"/>
        <v>FAIL</v>
      </c>
    </row>
    <row r="20" spans="1:14" x14ac:dyDescent="0.3">
      <c r="A20" s="6">
        <v>16</v>
      </c>
      <c r="B20" s="6">
        <f t="shared" si="3"/>
        <v>1</v>
      </c>
      <c r="C20" s="6">
        <f>MIN(INDEX(Inputs!$E$26:$E$28,B20)+(A20-1)*Inputs!$B$17,Inputs!$B$23)</f>
        <v>14</v>
      </c>
      <c r="D20" s="6">
        <f>C20*Inputs!$B$13</f>
        <v>98</v>
      </c>
      <c r="E20" s="11">
        <f>Inputs!$B$18*(1+Inputs!B$7*(Inputs!$B$19-1))*Inputs!B$5*Inputs!B$6</f>
        <v>3.5640000000000005</v>
      </c>
      <c r="F20" s="13">
        <f>D20*Inputs!B$8</f>
        <v>83.3</v>
      </c>
      <c r="G20" s="4">
        <f t="shared" si="0"/>
        <v>296.88120000000004</v>
      </c>
      <c r="H20" s="13">
        <f>F20*Inputs!B$7</f>
        <v>16.66</v>
      </c>
      <c r="I20" s="4">
        <f>MAX(0,H20-IF(A20=1,Inputs!$B$21,0))*Inputs!$B$20</f>
        <v>49.980000000000004</v>
      </c>
      <c r="J20" s="4">
        <f>Inputs!$B$15+(A20-1)*Inputs!$B$16+SUMIF(Inputs!$A$26:$A$28,"&lt;="&amp;B20,Inputs!$D$26:$D$28)</f>
        <v>580</v>
      </c>
      <c r="K20" s="5">
        <f t="shared" si="4"/>
        <v>-2505.3417999999992</v>
      </c>
      <c r="L20" s="14">
        <f>IF(B20&gt;=COUNT(Inputs!$A$26:$A$28),0,IF(AND(K20&gt;=0,A20&gt;=INDEX(Inputs!$B$26:$B$28,B20+1),K20&gt;=INDEX(Inputs!$C$26:$C$28,B20+1)+Inputs!$B$22),INDEX(Inputs!$C$26:$C$28,B20+1),0))</f>
        <v>0</v>
      </c>
      <c r="M20" s="5">
        <f t="shared" si="1"/>
        <v>-2505.3417999999992</v>
      </c>
      <c r="N20" s="15" t="str">
        <f t="shared" si="2"/>
        <v>FAIL</v>
      </c>
    </row>
    <row r="21" spans="1:14" x14ac:dyDescent="0.3">
      <c r="A21" s="6">
        <v>17</v>
      </c>
      <c r="B21" s="6">
        <f t="shared" si="3"/>
        <v>1</v>
      </c>
      <c r="C21" s="6">
        <f>MIN(INDEX(Inputs!$E$26:$E$28,B21)+(A21-1)*Inputs!$B$17,Inputs!$B$23)</f>
        <v>14</v>
      </c>
      <c r="D21" s="6">
        <f>C21*Inputs!$B$13</f>
        <v>98</v>
      </c>
      <c r="E21" s="11">
        <f>Inputs!$B$18*(1+Inputs!B$7*(Inputs!$B$19-1))*Inputs!B$5*Inputs!B$6</f>
        <v>3.5640000000000005</v>
      </c>
      <c r="F21" s="13">
        <f>D21*Inputs!B$8</f>
        <v>83.3</v>
      </c>
      <c r="G21" s="4">
        <f t="shared" si="0"/>
        <v>296.88120000000004</v>
      </c>
      <c r="H21" s="13">
        <f>F21*Inputs!B$7</f>
        <v>16.66</v>
      </c>
      <c r="I21" s="4">
        <f>MAX(0,H21-IF(A21=1,Inputs!$B$21,0))*Inputs!$B$20</f>
        <v>49.980000000000004</v>
      </c>
      <c r="J21" s="4">
        <f>Inputs!$B$15+(A21-1)*Inputs!$B$16+SUMIF(Inputs!$A$26:$A$28,"&lt;="&amp;B21,Inputs!$D$26:$D$28)</f>
        <v>610</v>
      </c>
      <c r="K21" s="5">
        <f t="shared" si="4"/>
        <v>-2868.4405999999994</v>
      </c>
      <c r="L21" s="14">
        <f>IF(B21&gt;=COUNT(Inputs!$A$26:$A$28),0,IF(AND(K21&gt;=0,A21&gt;=INDEX(Inputs!$B$26:$B$28,B21+1),K21&gt;=INDEX(Inputs!$C$26:$C$28,B21+1)+Inputs!$B$22),INDEX(Inputs!$C$26:$C$28,B21+1),0))</f>
        <v>0</v>
      </c>
      <c r="M21" s="5">
        <f t="shared" si="1"/>
        <v>-2868.4405999999994</v>
      </c>
      <c r="N21" s="15" t="str">
        <f t="shared" si="2"/>
        <v>FAIL</v>
      </c>
    </row>
    <row r="22" spans="1:14" x14ac:dyDescent="0.3">
      <c r="A22" s="6">
        <v>18</v>
      </c>
      <c r="B22" s="6">
        <f t="shared" si="3"/>
        <v>1</v>
      </c>
      <c r="C22" s="6">
        <f>MIN(INDEX(Inputs!$E$26:$E$28,B22)+(A22-1)*Inputs!$B$17,Inputs!$B$23)</f>
        <v>14</v>
      </c>
      <c r="D22" s="6">
        <f>C22*Inputs!$B$13</f>
        <v>98</v>
      </c>
      <c r="E22" s="11">
        <f>Inputs!$B$18*(1+Inputs!B$7*(Inputs!$B$19-1))*Inputs!B$5*Inputs!B$6</f>
        <v>3.5640000000000005</v>
      </c>
      <c r="F22" s="13">
        <f>D22*Inputs!B$8</f>
        <v>83.3</v>
      </c>
      <c r="G22" s="4">
        <f t="shared" si="0"/>
        <v>296.88120000000004</v>
      </c>
      <c r="H22" s="13">
        <f>F22*Inputs!B$7</f>
        <v>16.66</v>
      </c>
      <c r="I22" s="4">
        <f>MAX(0,H22-IF(A22=1,Inputs!$B$21,0))*Inputs!$B$20</f>
        <v>49.980000000000004</v>
      </c>
      <c r="J22" s="4">
        <f>Inputs!$B$15+(A22-1)*Inputs!$B$16+SUMIF(Inputs!$A$26:$A$28,"&lt;="&amp;B22,Inputs!$D$26:$D$28)</f>
        <v>640</v>
      </c>
      <c r="K22" s="5">
        <f t="shared" si="4"/>
        <v>-3261.5393999999992</v>
      </c>
      <c r="L22" s="14">
        <f>IF(B22&gt;=COUNT(Inputs!$A$26:$A$28),0,IF(AND(K22&gt;=0,A22&gt;=INDEX(Inputs!$B$26:$B$28,B22+1),K22&gt;=INDEX(Inputs!$C$26:$C$28,B22+1)+Inputs!$B$22),INDEX(Inputs!$C$26:$C$28,B22+1),0))</f>
        <v>0</v>
      </c>
      <c r="M22" s="5">
        <f t="shared" si="1"/>
        <v>-3261.5393999999992</v>
      </c>
      <c r="N22" s="15" t="str">
        <f t="shared" si="2"/>
        <v>FAIL</v>
      </c>
    </row>
    <row r="23" spans="1:14" x14ac:dyDescent="0.3">
      <c r="A23" s="6">
        <v>19</v>
      </c>
      <c r="B23" s="6">
        <f t="shared" si="3"/>
        <v>1</v>
      </c>
      <c r="C23" s="6">
        <f>MIN(INDEX(Inputs!$E$26:$E$28,B23)+(A23-1)*Inputs!$B$17,Inputs!$B$23)</f>
        <v>14</v>
      </c>
      <c r="D23" s="6">
        <f>C23*Inputs!$B$13</f>
        <v>98</v>
      </c>
      <c r="E23" s="11">
        <f>Inputs!$B$18*(1+Inputs!B$7*(Inputs!$B$19-1))*Inputs!B$5*Inputs!B$6</f>
        <v>3.5640000000000005</v>
      </c>
      <c r="F23" s="13">
        <f>D23*Inputs!B$8</f>
        <v>83.3</v>
      </c>
      <c r="G23" s="4">
        <f t="shared" si="0"/>
        <v>296.88120000000004</v>
      </c>
      <c r="H23" s="13">
        <f>F23*Inputs!B$7</f>
        <v>16.66</v>
      </c>
      <c r="I23" s="4">
        <f>MAX(0,H23-IF(A23=1,Inputs!$B$21,0))*Inputs!$B$20</f>
        <v>49.980000000000004</v>
      </c>
      <c r="J23" s="4">
        <f>Inputs!$B$15+(A23-1)*Inputs!$B$16+SUMIF(Inputs!$A$26:$A$28,"&lt;="&amp;B23,Inputs!$D$26:$D$28)</f>
        <v>670</v>
      </c>
      <c r="K23" s="5">
        <f t="shared" si="4"/>
        <v>-3684.638199999999</v>
      </c>
      <c r="L23" s="14">
        <f>IF(B23&gt;=COUNT(Inputs!$A$26:$A$28),0,IF(AND(K23&gt;=0,A23&gt;=INDEX(Inputs!$B$26:$B$28,B23+1),K23&gt;=INDEX(Inputs!$C$26:$C$28,B23+1)+Inputs!$B$22),INDEX(Inputs!$C$26:$C$28,B23+1),0))</f>
        <v>0</v>
      </c>
      <c r="M23" s="5">
        <f t="shared" si="1"/>
        <v>-3684.638199999999</v>
      </c>
      <c r="N23" s="15" t="str">
        <f t="shared" si="2"/>
        <v>FAIL</v>
      </c>
    </row>
    <row r="24" spans="1:14" x14ac:dyDescent="0.3">
      <c r="A24" s="6">
        <v>20</v>
      </c>
      <c r="B24" s="6">
        <f t="shared" si="3"/>
        <v>1</v>
      </c>
      <c r="C24" s="6">
        <f>MIN(INDEX(Inputs!$E$26:$E$28,B24)+(A24-1)*Inputs!$B$17,Inputs!$B$23)</f>
        <v>14</v>
      </c>
      <c r="D24" s="6">
        <f>C24*Inputs!$B$13</f>
        <v>98</v>
      </c>
      <c r="E24" s="11">
        <f>Inputs!$B$18*(1+Inputs!B$7*(Inputs!$B$19-1))*Inputs!B$5*Inputs!B$6</f>
        <v>3.5640000000000005</v>
      </c>
      <c r="F24" s="13">
        <f>D24*Inputs!B$8</f>
        <v>83.3</v>
      </c>
      <c r="G24" s="4">
        <f t="shared" si="0"/>
        <v>296.88120000000004</v>
      </c>
      <c r="H24" s="13">
        <f>F24*Inputs!B$7</f>
        <v>16.66</v>
      </c>
      <c r="I24" s="4">
        <f>MAX(0,H24-IF(A24=1,Inputs!$B$21,0))*Inputs!$B$20</f>
        <v>49.980000000000004</v>
      </c>
      <c r="J24" s="4">
        <f>Inputs!$B$15+(A24-1)*Inputs!$B$16+SUMIF(Inputs!$A$26:$A$28,"&lt;="&amp;B24,Inputs!$D$26:$D$28)</f>
        <v>700</v>
      </c>
      <c r="K24" s="5">
        <f t="shared" si="4"/>
        <v>-4137.7369999999992</v>
      </c>
      <c r="L24" s="14">
        <f>IF(B24&gt;=COUNT(Inputs!$A$26:$A$28),0,IF(AND(K24&gt;=0,A24&gt;=INDEX(Inputs!$B$26:$B$28,B24+1),K24&gt;=INDEX(Inputs!$C$26:$C$28,B24+1)+Inputs!$B$22),INDEX(Inputs!$C$26:$C$28,B24+1),0))</f>
        <v>0</v>
      </c>
      <c r="M24" s="5">
        <f t="shared" si="1"/>
        <v>-4137.7369999999992</v>
      </c>
      <c r="N24" s="15" t="str">
        <f t="shared" si="2"/>
        <v>FAIL</v>
      </c>
    </row>
    <row r="25" spans="1:14" x14ac:dyDescent="0.3">
      <c r="A25" s="6">
        <v>21</v>
      </c>
      <c r="B25" s="6">
        <f t="shared" si="3"/>
        <v>1</v>
      </c>
      <c r="C25" s="6">
        <f>MIN(INDEX(Inputs!$E$26:$E$28,B25)+(A25-1)*Inputs!$B$17,Inputs!$B$23)</f>
        <v>14</v>
      </c>
      <c r="D25" s="6">
        <f>C25*Inputs!$B$13</f>
        <v>98</v>
      </c>
      <c r="E25" s="11">
        <f>Inputs!$B$18*(1+Inputs!B$7*(Inputs!$B$19-1))*Inputs!B$5*Inputs!B$6</f>
        <v>3.5640000000000005</v>
      </c>
      <c r="F25" s="13">
        <f>D25*Inputs!B$8</f>
        <v>83.3</v>
      </c>
      <c r="G25" s="4">
        <f t="shared" si="0"/>
        <v>296.88120000000004</v>
      </c>
      <c r="H25" s="13">
        <f>F25*Inputs!B$7</f>
        <v>16.66</v>
      </c>
      <c r="I25" s="4">
        <f>MAX(0,H25-IF(A25=1,Inputs!$B$21,0))*Inputs!$B$20</f>
        <v>49.980000000000004</v>
      </c>
      <c r="J25" s="4">
        <f>Inputs!$B$15+(A25-1)*Inputs!$B$16+SUMIF(Inputs!$A$26:$A$28,"&lt;="&amp;B25,Inputs!$D$26:$D$28)</f>
        <v>730</v>
      </c>
      <c r="K25" s="5">
        <f t="shared" si="4"/>
        <v>-4620.8357999999989</v>
      </c>
      <c r="L25" s="14">
        <f>IF(B25&gt;=COUNT(Inputs!$A$26:$A$28),0,IF(AND(K25&gt;=0,A25&gt;=INDEX(Inputs!$B$26:$B$28,B25+1),K25&gt;=INDEX(Inputs!$C$26:$C$28,B25+1)+Inputs!$B$22),INDEX(Inputs!$C$26:$C$28,B25+1),0))</f>
        <v>0</v>
      </c>
      <c r="M25" s="5">
        <f t="shared" si="1"/>
        <v>-4620.8357999999989</v>
      </c>
      <c r="N25" s="15" t="str">
        <f t="shared" si="2"/>
        <v>FAIL</v>
      </c>
    </row>
    <row r="26" spans="1:14" x14ac:dyDescent="0.3">
      <c r="A26" s="6">
        <v>22</v>
      </c>
      <c r="B26" s="6">
        <f t="shared" si="3"/>
        <v>1</v>
      </c>
      <c r="C26" s="6">
        <f>MIN(INDEX(Inputs!$E$26:$E$28,B26)+(A26-1)*Inputs!$B$17,Inputs!$B$23)</f>
        <v>14</v>
      </c>
      <c r="D26" s="6">
        <f>C26*Inputs!$B$13</f>
        <v>98</v>
      </c>
      <c r="E26" s="11">
        <f>Inputs!$B$18*(1+Inputs!B$7*(Inputs!$B$19-1))*Inputs!B$5*Inputs!B$6</f>
        <v>3.5640000000000005</v>
      </c>
      <c r="F26" s="13">
        <f>D26*Inputs!B$8</f>
        <v>83.3</v>
      </c>
      <c r="G26" s="4">
        <f t="shared" si="0"/>
        <v>296.88120000000004</v>
      </c>
      <c r="H26" s="13">
        <f>F26*Inputs!B$7</f>
        <v>16.66</v>
      </c>
      <c r="I26" s="4">
        <f>MAX(0,H26-IF(A26=1,Inputs!$B$21,0))*Inputs!$B$20</f>
        <v>49.980000000000004</v>
      </c>
      <c r="J26" s="4">
        <f>Inputs!$B$15+(A26-1)*Inputs!$B$16+SUMIF(Inputs!$A$26:$A$28,"&lt;="&amp;B26,Inputs!$D$26:$D$28)</f>
        <v>760</v>
      </c>
      <c r="K26" s="5">
        <f t="shared" si="4"/>
        <v>-5133.9345999999987</v>
      </c>
      <c r="L26" s="14">
        <f>IF(B26&gt;=COUNT(Inputs!$A$26:$A$28),0,IF(AND(K26&gt;=0,A26&gt;=INDEX(Inputs!$B$26:$B$28,B26+1),K26&gt;=INDEX(Inputs!$C$26:$C$28,B26+1)+Inputs!$B$22),INDEX(Inputs!$C$26:$C$28,B26+1),0))</f>
        <v>0</v>
      </c>
      <c r="M26" s="5">
        <f t="shared" si="1"/>
        <v>-5133.9345999999987</v>
      </c>
      <c r="N26" s="15" t="str">
        <f t="shared" si="2"/>
        <v>FAIL</v>
      </c>
    </row>
    <row r="27" spans="1:14" x14ac:dyDescent="0.3">
      <c r="A27" s="6">
        <v>23</v>
      </c>
      <c r="B27" s="6">
        <f t="shared" si="3"/>
        <v>1</v>
      </c>
      <c r="C27" s="6">
        <f>MIN(INDEX(Inputs!$E$26:$E$28,B27)+(A27-1)*Inputs!$B$17,Inputs!$B$23)</f>
        <v>14</v>
      </c>
      <c r="D27" s="6">
        <f>C27*Inputs!$B$13</f>
        <v>98</v>
      </c>
      <c r="E27" s="11">
        <f>Inputs!$B$18*(1+Inputs!B$7*(Inputs!$B$19-1))*Inputs!B$5*Inputs!B$6</f>
        <v>3.5640000000000005</v>
      </c>
      <c r="F27" s="13">
        <f>D27*Inputs!B$8</f>
        <v>83.3</v>
      </c>
      <c r="G27" s="4">
        <f t="shared" si="0"/>
        <v>296.88120000000004</v>
      </c>
      <c r="H27" s="13">
        <f>F27*Inputs!B$7</f>
        <v>16.66</v>
      </c>
      <c r="I27" s="4">
        <f>MAX(0,H27-IF(A27=1,Inputs!$B$21,0))*Inputs!$B$20</f>
        <v>49.980000000000004</v>
      </c>
      <c r="J27" s="4">
        <f>Inputs!$B$15+(A27-1)*Inputs!$B$16+SUMIF(Inputs!$A$26:$A$28,"&lt;="&amp;B27,Inputs!$D$26:$D$28)</f>
        <v>790</v>
      </c>
      <c r="K27" s="5">
        <f t="shared" si="4"/>
        <v>-5677.0333999999984</v>
      </c>
      <c r="L27" s="14">
        <f>IF(B27&gt;=COUNT(Inputs!$A$26:$A$28),0,IF(AND(K27&gt;=0,A27&gt;=INDEX(Inputs!$B$26:$B$28,B27+1),K27&gt;=INDEX(Inputs!$C$26:$C$28,B27+1)+Inputs!$B$22),INDEX(Inputs!$C$26:$C$28,B27+1),0))</f>
        <v>0</v>
      </c>
      <c r="M27" s="5">
        <f t="shared" si="1"/>
        <v>-5677.0333999999984</v>
      </c>
      <c r="N27" s="15" t="str">
        <f t="shared" si="2"/>
        <v>FAIL</v>
      </c>
    </row>
    <row r="28" spans="1:14" x14ac:dyDescent="0.3">
      <c r="A28" s="6">
        <v>24</v>
      </c>
      <c r="B28" s="6">
        <f t="shared" si="3"/>
        <v>1</v>
      </c>
      <c r="C28" s="6">
        <f>MIN(INDEX(Inputs!$E$26:$E$28,B28)+(A28-1)*Inputs!$B$17,Inputs!$B$23)</f>
        <v>14</v>
      </c>
      <c r="D28" s="6">
        <f>C28*Inputs!$B$13</f>
        <v>98</v>
      </c>
      <c r="E28" s="11">
        <f>Inputs!$B$18*(1+Inputs!B$7*(Inputs!$B$19-1))*Inputs!B$5*Inputs!B$6</f>
        <v>3.5640000000000005</v>
      </c>
      <c r="F28" s="13">
        <f>D28*Inputs!B$8</f>
        <v>83.3</v>
      </c>
      <c r="G28" s="4">
        <f t="shared" si="0"/>
        <v>296.88120000000004</v>
      </c>
      <c r="H28" s="13">
        <f>F28*Inputs!B$7</f>
        <v>16.66</v>
      </c>
      <c r="I28" s="4">
        <f>MAX(0,H28-IF(A28=1,Inputs!$B$21,0))*Inputs!$B$20</f>
        <v>49.980000000000004</v>
      </c>
      <c r="J28" s="4">
        <f>Inputs!$B$15+(A28-1)*Inputs!$B$16+SUMIF(Inputs!$A$26:$A$28,"&lt;="&amp;B28,Inputs!$D$26:$D$28)</f>
        <v>820</v>
      </c>
      <c r="K28" s="5">
        <f t="shared" si="4"/>
        <v>-6250.1321999999982</v>
      </c>
      <c r="L28" s="14">
        <f>IF(B28&gt;=COUNT(Inputs!$A$26:$A$28),0,IF(AND(K28&gt;=0,A28&gt;=INDEX(Inputs!$B$26:$B$28,B28+1),K28&gt;=INDEX(Inputs!$C$26:$C$28,B28+1)+Inputs!$B$22),INDEX(Inputs!$C$26:$C$28,B28+1),0))</f>
        <v>0</v>
      </c>
      <c r="M28" s="5">
        <f t="shared" si="1"/>
        <v>-6250.1321999999982</v>
      </c>
      <c r="N28" s="15" t="str">
        <f t="shared" si="2"/>
        <v>FAIL</v>
      </c>
    </row>
    <row r="29" spans="1:14" x14ac:dyDescent="0.3">
      <c r="A29" s="6">
        <v>25</v>
      </c>
      <c r="B29" s="6">
        <f t="shared" si="3"/>
        <v>1</v>
      </c>
      <c r="C29" s="6">
        <f>MIN(INDEX(Inputs!$E$26:$E$28,B29)+(A29-1)*Inputs!$B$17,Inputs!$B$23)</f>
        <v>14</v>
      </c>
      <c r="D29" s="6">
        <f>C29*Inputs!$B$13</f>
        <v>98</v>
      </c>
      <c r="E29" s="11">
        <f>Inputs!$B$18*(1+Inputs!B$7*(Inputs!$B$19-1))*Inputs!B$5*Inputs!B$6</f>
        <v>3.5640000000000005</v>
      </c>
      <c r="F29" s="13">
        <f>D29*Inputs!B$8</f>
        <v>83.3</v>
      </c>
      <c r="G29" s="4">
        <f t="shared" si="0"/>
        <v>296.88120000000004</v>
      </c>
      <c r="H29" s="13">
        <f>F29*Inputs!B$7</f>
        <v>16.66</v>
      </c>
      <c r="I29" s="4">
        <f>MAX(0,H29-IF(A29=1,Inputs!$B$21,0))*Inputs!$B$20</f>
        <v>49.980000000000004</v>
      </c>
      <c r="J29" s="4">
        <f>Inputs!$B$15+(A29-1)*Inputs!$B$16+SUMIF(Inputs!$A$26:$A$28,"&lt;="&amp;B29,Inputs!$D$26:$D$28)</f>
        <v>850</v>
      </c>
      <c r="K29" s="5">
        <f t="shared" si="4"/>
        <v>-6853.2309999999979</v>
      </c>
      <c r="L29" s="14">
        <f>IF(B29&gt;=COUNT(Inputs!$A$26:$A$28),0,IF(AND(K29&gt;=0,A29&gt;=INDEX(Inputs!$B$26:$B$28,B29+1),K29&gt;=INDEX(Inputs!$C$26:$C$28,B29+1)+Inputs!$B$22),INDEX(Inputs!$C$26:$C$28,B29+1),0))</f>
        <v>0</v>
      </c>
      <c r="M29" s="5">
        <f t="shared" si="1"/>
        <v>-6853.2309999999979</v>
      </c>
      <c r="N29" s="15" t="str">
        <f t="shared" si="2"/>
        <v>FAIL</v>
      </c>
    </row>
    <row r="30" spans="1:14" x14ac:dyDescent="0.3">
      <c r="A30" s="6">
        <v>26</v>
      </c>
      <c r="B30" s="6">
        <f t="shared" si="3"/>
        <v>1</v>
      </c>
      <c r="C30" s="6">
        <f>MIN(INDEX(Inputs!$E$26:$E$28,B30)+(A30-1)*Inputs!$B$17,Inputs!$B$23)</f>
        <v>14</v>
      </c>
      <c r="D30" s="6">
        <f>C30*Inputs!$B$13</f>
        <v>98</v>
      </c>
      <c r="E30" s="11">
        <f>Inputs!$B$18*(1+Inputs!B$7*(Inputs!$B$19-1))*Inputs!B$5*Inputs!B$6</f>
        <v>3.5640000000000005</v>
      </c>
      <c r="F30" s="13">
        <f>D30*Inputs!B$8</f>
        <v>83.3</v>
      </c>
      <c r="G30" s="4">
        <f t="shared" si="0"/>
        <v>296.88120000000004</v>
      </c>
      <c r="H30" s="13">
        <f>F30*Inputs!B$7</f>
        <v>16.66</v>
      </c>
      <c r="I30" s="4">
        <f>MAX(0,H30-IF(A30=1,Inputs!$B$21,0))*Inputs!$B$20</f>
        <v>49.980000000000004</v>
      </c>
      <c r="J30" s="4">
        <f>Inputs!$B$15+(A30-1)*Inputs!$B$16+SUMIF(Inputs!$A$26:$A$28,"&lt;="&amp;B30,Inputs!$D$26:$D$28)</f>
        <v>880</v>
      </c>
      <c r="K30" s="5">
        <f t="shared" si="4"/>
        <v>-7486.3297999999977</v>
      </c>
      <c r="L30" s="14">
        <f>IF(B30&gt;=COUNT(Inputs!$A$26:$A$28),0,IF(AND(K30&gt;=0,A30&gt;=INDEX(Inputs!$B$26:$B$28,B30+1),K30&gt;=INDEX(Inputs!$C$26:$C$28,B30+1)+Inputs!$B$22),INDEX(Inputs!$C$26:$C$28,B30+1),0))</f>
        <v>0</v>
      </c>
      <c r="M30" s="5">
        <f t="shared" si="1"/>
        <v>-7486.3297999999977</v>
      </c>
      <c r="N30" s="15" t="str">
        <f t="shared" si="2"/>
        <v>FAIL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zoomScaleNormal="100" workbookViewId="0"/>
  </sheetViews>
  <sheetFormatPr defaultColWidth="8.6640625" defaultRowHeight="14.4" x14ac:dyDescent="0.3"/>
  <cols>
    <col min="1" max="14" width="14" customWidth="1"/>
  </cols>
  <sheetData>
    <row r="1" spans="1:14" ht="17.399999999999999" x14ac:dyDescent="0.3">
      <c r="A1" s="1" t="s">
        <v>60</v>
      </c>
    </row>
    <row r="2" spans="1:14" x14ac:dyDescent="0.3">
      <c r="A2" s="3" t="s">
        <v>46</v>
      </c>
    </row>
    <row r="4" spans="1:14" ht="31.5" customHeight="1" x14ac:dyDescent="0.3">
      <c r="A4" s="12" t="s">
        <v>47</v>
      </c>
      <c r="B4" s="12" t="s">
        <v>38</v>
      </c>
      <c r="C4" s="12" t="s">
        <v>48</v>
      </c>
      <c r="D4" s="12" t="s">
        <v>49</v>
      </c>
      <c r="E4" s="12" t="s">
        <v>50</v>
      </c>
      <c r="F4" s="12" t="s">
        <v>51</v>
      </c>
      <c r="G4" s="12" t="s">
        <v>52</v>
      </c>
      <c r="H4" s="12" t="s">
        <v>53</v>
      </c>
      <c r="I4" s="12" t="s">
        <v>54</v>
      </c>
      <c r="J4" s="12" t="s">
        <v>55</v>
      </c>
      <c r="K4" s="12" t="s">
        <v>56</v>
      </c>
      <c r="L4" s="12" t="s">
        <v>57</v>
      </c>
      <c r="M4" s="12" t="s">
        <v>58</v>
      </c>
      <c r="N4" s="12" t="s">
        <v>59</v>
      </c>
    </row>
    <row r="5" spans="1:14" x14ac:dyDescent="0.3">
      <c r="A5" s="6">
        <v>1</v>
      </c>
      <c r="B5" s="6">
        <v>1</v>
      </c>
      <c r="C5" s="6">
        <f>MIN(INDEX(Inputs!$E$26:$E$28,B5)+(A5-1)*Inputs!$B$17,Inputs!$B$23)</f>
        <v>5</v>
      </c>
      <c r="D5" s="6">
        <f>C5*Inputs!$B$13</f>
        <v>35</v>
      </c>
      <c r="E5" s="11">
        <f>Inputs!$B$18*(1+Inputs!C$7*(Inputs!$B$19-1))*Inputs!C$5*Inputs!C$6</f>
        <v>5.76</v>
      </c>
      <c r="F5" s="13">
        <f>D5*Inputs!C$8</f>
        <v>33.25</v>
      </c>
      <c r="G5" s="4">
        <f t="shared" ref="G5:G30" si="0">F5*E5</f>
        <v>191.51999999999998</v>
      </c>
      <c r="H5" s="13">
        <f>F5*Inputs!C$7</f>
        <v>13.3</v>
      </c>
      <c r="I5" s="4">
        <f>MAX(0,H5-IF(A5=1,Inputs!$B$21,0))*Inputs!$B$20</f>
        <v>15.900000000000002</v>
      </c>
      <c r="J5" s="4">
        <f>Inputs!$B$15+(A5-1)*Inputs!$B$16+SUMIF(Inputs!$A$26:$A$28,"&lt;="&amp;B5,Inputs!$D$26:$D$28)</f>
        <v>130</v>
      </c>
      <c r="K5" s="5">
        <f>Inputs!$B$14+G5-I5-J5</f>
        <v>45.619999999999976</v>
      </c>
      <c r="L5" s="14">
        <f>IF(B5&gt;=COUNT(Inputs!$A$26:$A$28),0,IF(AND(K5&gt;=0,A5&gt;=INDEX(Inputs!$B$26:$B$28,B5+1),K5&gt;=INDEX(Inputs!$C$26:$C$28,B5+1)+Inputs!$B$22),INDEX(Inputs!$C$26:$C$28,B5+1),0))</f>
        <v>0</v>
      </c>
      <c r="M5" s="5">
        <f t="shared" ref="M5:M30" si="1">K5-L5</f>
        <v>45.619999999999976</v>
      </c>
      <c r="N5" s="15" t="str">
        <f t="shared" ref="N5:N30" si="2">IF(K5&lt;0,"FAIL","OK")</f>
        <v>OK</v>
      </c>
    </row>
    <row r="6" spans="1:14" x14ac:dyDescent="0.3">
      <c r="A6" s="6">
        <v>2</v>
      </c>
      <c r="B6" s="6">
        <f t="shared" ref="B6:B30" si="3">B5+IF(L5&gt;0,1,0)</f>
        <v>1</v>
      </c>
      <c r="C6" s="6">
        <f>MIN(INDEX(Inputs!$E$26:$E$28,B6)+(A6-1)*Inputs!$B$17,Inputs!$B$23)</f>
        <v>6</v>
      </c>
      <c r="D6" s="6">
        <f>C6*Inputs!$B$13</f>
        <v>42</v>
      </c>
      <c r="E6" s="11">
        <f>Inputs!$B$18*(1+Inputs!C$7*(Inputs!$B$19-1))*Inputs!C$5*Inputs!C$6</f>
        <v>5.76</v>
      </c>
      <c r="F6" s="13">
        <f>D6*Inputs!C$8</f>
        <v>39.9</v>
      </c>
      <c r="G6" s="4">
        <f t="shared" si="0"/>
        <v>229.82399999999998</v>
      </c>
      <c r="H6" s="13">
        <f>F6*Inputs!C$7</f>
        <v>15.96</v>
      </c>
      <c r="I6" s="4">
        <f>MAX(0,H6-IF(A6=1,Inputs!$B$21,0))*Inputs!$B$20</f>
        <v>47.88</v>
      </c>
      <c r="J6" s="4">
        <f>Inputs!$B$15+(A6-1)*Inputs!$B$16+SUMIF(Inputs!$A$26:$A$28,"&lt;="&amp;B6,Inputs!$D$26:$D$28)</f>
        <v>160</v>
      </c>
      <c r="K6" s="5">
        <f t="shared" ref="K6:K30" si="4">M5+G6-I6-J6</f>
        <v>67.563999999999965</v>
      </c>
      <c r="L6" s="14">
        <f>IF(B6&gt;=COUNT(Inputs!$A$26:$A$28),0,IF(AND(K6&gt;=0,A6&gt;=INDEX(Inputs!$B$26:$B$28,B6+1),K6&gt;=INDEX(Inputs!$C$26:$C$28,B6+1)+Inputs!$B$22),INDEX(Inputs!$C$26:$C$28,B6+1),0))</f>
        <v>0</v>
      </c>
      <c r="M6" s="5">
        <f t="shared" si="1"/>
        <v>67.563999999999965</v>
      </c>
      <c r="N6" s="15" t="str">
        <f t="shared" si="2"/>
        <v>OK</v>
      </c>
    </row>
    <row r="7" spans="1:14" x14ac:dyDescent="0.3">
      <c r="A7" s="6">
        <v>3</v>
      </c>
      <c r="B7" s="6">
        <f t="shared" si="3"/>
        <v>1</v>
      </c>
      <c r="C7" s="6">
        <f>MIN(INDEX(Inputs!$E$26:$E$28,B7)+(A7-1)*Inputs!$B$17,Inputs!$B$23)</f>
        <v>7</v>
      </c>
      <c r="D7" s="6">
        <f>C7*Inputs!$B$13</f>
        <v>49</v>
      </c>
      <c r="E7" s="11">
        <f>Inputs!$B$18*(1+Inputs!C$7*(Inputs!$B$19-1))*Inputs!C$5*Inputs!C$6</f>
        <v>5.76</v>
      </c>
      <c r="F7" s="13">
        <f>D7*Inputs!C$8</f>
        <v>46.55</v>
      </c>
      <c r="G7" s="4">
        <f t="shared" si="0"/>
        <v>268.12799999999999</v>
      </c>
      <c r="H7" s="13">
        <f>F7*Inputs!C$7</f>
        <v>18.62</v>
      </c>
      <c r="I7" s="4">
        <f>MAX(0,H7-IF(A7=1,Inputs!$B$21,0))*Inputs!$B$20</f>
        <v>55.86</v>
      </c>
      <c r="J7" s="4">
        <f>Inputs!$B$15+(A7-1)*Inputs!$B$16+SUMIF(Inputs!$A$26:$A$28,"&lt;="&amp;B7,Inputs!$D$26:$D$28)</f>
        <v>190</v>
      </c>
      <c r="K7" s="5">
        <f t="shared" si="4"/>
        <v>89.831999999999937</v>
      </c>
      <c r="L7" s="14">
        <f>IF(B7&gt;=COUNT(Inputs!$A$26:$A$28),0,IF(AND(K7&gt;=0,A7&gt;=INDEX(Inputs!$B$26:$B$28,B7+1),K7&gt;=INDEX(Inputs!$C$26:$C$28,B7+1)+Inputs!$B$22),INDEX(Inputs!$C$26:$C$28,B7+1),0))</f>
        <v>0</v>
      </c>
      <c r="M7" s="5">
        <f t="shared" si="1"/>
        <v>89.831999999999937</v>
      </c>
      <c r="N7" s="15" t="str">
        <f t="shared" si="2"/>
        <v>OK</v>
      </c>
    </row>
    <row r="8" spans="1:14" x14ac:dyDescent="0.3">
      <c r="A8" s="6">
        <v>4</v>
      </c>
      <c r="B8" s="6">
        <f t="shared" si="3"/>
        <v>1</v>
      </c>
      <c r="C8" s="6">
        <f>MIN(INDEX(Inputs!$E$26:$E$28,B8)+(A8-1)*Inputs!$B$17,Inputs!$B$23)</f>
        <v>8</v>
      </c>
      <c r="D8" s="6">
        <f>C8*Inputs!$B$13</f>
        <v>56</v>
      </c>
      <c r="E8" s="11">
        <f>Inputs!$B$18*(1+Inputs!C$7*(Inputs!$B$19-1))*Inputs!C$5*Inputs!C$6</f>
        <v>5.76</v>
      </c>
      <c r="F8" s="13">
        <f>D8*Inputs!C$8</f>
        <v>53.199999999999996</v>
      </c>
      <c r="G8" s="4">
        <f t="shared" si="0"/>
        <v>306.43199999999996</v>
      </c>
      <c r="H8" s="13">
        <f>F8*Inputs!C$7</f>
        <v>21.28</v>
      </c>
      <c r="I8" s="4">
        <f>MAX(0,H8-IF(A8=1,Inputs!$B$21,0))*Inputs!$B$20</f>
        <v>63.84</v>
      </c>
      <c r="J8" s="4">
        <f>Inputs!$B$15+(A8-1)*Inputs!$B$16+SUMIF(Inputs!$A$26:$A$28,"&lt;="&amp;B8,Inputs!$D$26:$D$28)</f>
        <v>220</v>
      </c>
      <c r="K8" s="5">
        <f t="shared" si="4"/>
        <v>112.42399999999986</v>
      </c>
      <c r="L8" s="14">
        <f>IF(B8&gt;=COUNT(Inputs!$A$26:$A$28),0,IF(AND(K8&gt;=0,A8&gt;=INDEX(Inputs!$B$26:$B$28,B8+1),K8&gt;=INDEX(Inputs!$C$26:$C$28,B8+1)+Inputs!$B$22),INDEX(Inputs!$C$26:$C$28,B8+1),0))</f>
        <v>0</v>
      </c>
      <c r="M8" s="5">
        <f t="shared" si="1"/>
        <v>112.42399999999986</v>
      </c>
      <c r="N8" s="15" t="str">
        <f t="shared" si="2"/>
        <v>OK</v>
      </c>
    </row>
    <row r="9" spans="1:14" x14ac:dyDescent="0.3">
      <c r="A9" s="6">
        <v>5</v>
      </c>
      <c r="B9" s="6">
        <f t="shared" si="3"/>
        <v>1</v>
      </c>
      <c r="C9" s="6">
        <f>MIN(INDEX(Inputs!$E$26:$E$28,B9)+(A9-1)*Inputs!$B$17,Inputs!$B$23)</f>
        <v>9</v>
      </c>
      <c r="D9" s="6">
        <f>C9*Inputs!$B$13</f>
        <v>63</v>
      </c>
      <c r="E9" s="11">
        <f>Inputs!$B$18*(1+Inputs!C$7*(Inputs!$B$19-1))*Inputs!C$5*Inputs!C$6</f>
        <v>5.76</v>
      </c>
      <c r="F9" s="13">
        <f>D9*Inputs!C$8</f>
        <v>59.849999999999994</v>
      </c>
      <c r="G9" s="4">
        <f t="shared" si="0"/>
        <v>344.73599999999993</v>
      </c>
      <c r="H9" s="13">
        <f>F9*Inputs!C$7</f>
        <v>23.939999999999998</v>
      </c>
      <c r="I9" s="4">
        <f>MAX(0,H9-IF(A9=1,Inputs!$B$21,0))*Inputs!$B$20</f>
        <v>71.819999999999993</v>
      </c>
      <c r="J9" s="4">
        <f>Inputs!$B$15+(A9-1)*Inputs!$B$16+SUMIF(Inputs!$A$26:$A$28,"&lt;="&amp;B9,Inputs!$D$26:$D$28)</f>
        <v>250</v>
      </c>
      <c r="K9" s="5">
        <f t="shared" si="4"/>
        <v>135.3399999999998</v>
      </c>
      <c r="L9" s="14">
        <f>IF(B9&gt;=COUNT(Inputs!$A$26:$A$28),0,IF(AND(K9&gt;=0,A9&gt;=INDEX(Inputs!$B$26:$B$28,B9+1),K9&gt;=INDEX(Inputs!$C$26:$C$28,B9+1)+Inputs!$B$22),INDEX(Inputs!$C$26:$C$28,B9+1),0))</f>
        <v>0</v>
      </c>
      <c r="M9" s="5">
        <f t="shared" si="1"/>
        <v>135.3399999999998</v>
      </c>
      <c r="N9" s="15" t="str">
        <f t="shared" si="2"/>
        <v>OK</v>
      </c>
    </row>
    <row r="10" spans="1:14" x14ac:dyDescent="0.3">
      <c r="A10" s="6">
        <v>6</v>
      </c>
      <c r="B10" s="6">
        <f t="shared" si="3"/>
        <v>1</v>
      </c>
      <c r="C10" s="6">
        <f>MIN(INDEX(Inputs!$E$26:$E$28,B10)+(A10-1)*Inputs!$B$17,Inputs!$B$23)</f>
        <v>10</v>
      </c>
      <c r="D10" s="6">
        <f>C10*Inputs!$B$13</f>
        <v>70</v>
      </c>
      <c r="E10" s="11">
        <f>Inputs!$B$18*(1+Inputs!C$7*(Inputs!$B$19-1))*Inputs!C$5*Inputs!C$6</f>
        <v>5.76</v>
      </c>
      <c r="F10" s="13">
        <f>D10*Inputs!C$8</f>
        <v>66.5</v>
      </c>
      <c r="G10" s="4">
        <f t="shared" si="0"/>
        <v>383.03999999999996</v>
      </c>
      <c r="H10" s="13">
        <f>F10*Inputs!C$7</f>
        <v>26.6</v>
      </c>
      <c r="I10" s="4">
        <f>MAX(0,H10-IF(A10=1,Inputs!$B$21,0))*Inputs!$B$20</f>
        <v>79.800000000000011</v>
      </c>
      <c r="J10" s="4">
        <f>Inputs!$B$15+(A10-1)*Inputs!$B$16+SUMIF(Inputs!$A$26:$A$28,"&lt;="&amp;B10,Inputs!$D$26:$D$28)</f>
        <v>280</v>
      </c>
      <c r="K10" s="5">
        <f t="shared" si="4"/>
        <v>158.57999999999976</v>
      </c>
      <c r="L10" s="14">
        <f>IF(B10&gt;=COUNT(Inputs!$A$26:$A$28),0,IF(AND(K10&gt;=0,A10&gt;=INDEX(Inputs!$B$26:$B$28,B10+1),K10&gt;=INDEX(Inputs!$C$26:$C$28,B10+1)+Inputs!$B$22),INDEX(Inputs!$C$26:$C$28,B10+1),0))</f>
        <v>150</v>
      </c>
      <c r="M10" s="5">
        <f t="shared" si="1"/>
        <v>8.5799999999997567</v>
      </c>
      <c r="N10" s="15" t="str">
        <f t="shared" si="2"/>
        <v>OK</v>
      </c>
    </row>
    <row r="11" spans="1:14" x14ac:dyDescent="0.3">
      <c r="A11" s="6">
        <v>7</v>
      </c>
      <c r="B11" s="6">
        <f t="shared" si="3"/>
        <v>2</v>
      </c>
      <c r="C11" s="6">
        <f>MIN(INDEX(Inputs!$E$26:$E$28,B11)+(A11-1)*Inputs!$B$17,Inputs!$B$23)</f>
        <v>14</v>
      </c>
      <c r="D11" s="6">
        <f>C11*Inputs!$B$13</f>
        <v>98</v>
      </c>
      <c r="E11" s="11">
        <f>Inputs!$B$18*(1+Inputs!C$7*(Inputs!$B$19-1))*Inputs!C$5*Inputs!C$6</f>
        <v>5.76</v>
      </c>
      <c r="F11" s="13">
        <f>D11*Inputs!C$8</f>
        <v>93.1</v>
      </c>
      <c r="G11" s="4">
        <f t="shared" si="0"/>
        <v>536.25599999999997</v>
      </c>
      <c r="H11" s="13">
        <f>F11*Inputs!C$7</f>
        <v>37.24</v>
      </c>
      <c r="I11" s="4">
        <f>MAX(0,H11-IF(A11=1,Inputs!$B$21,0))*Inputs!$B$20</f>
        <v>111.72</v>
      </c>
      <c r="J11" s="4">
        <f>Inputs!$B$15+(A11-1)*Inputs!$B$16+SUMIF(Inputs!$A$26:$A$28,"&lt;="&amp;B11,Inputs!$D$26:$D$28)</f>
        <v>370</v>
      </c>
      <c r="K11" s="5">
        <f t="shared" si="4"/>
        <v>63.115999999999758</v>
      </c>
      <c r="L11" s="14">
        <f>IF(B11&gt;=COUNT(Inputs!$A$26:$A$28),0,IF(AND(K11&gt;=0,A11&gt;=INDEX(Inputs!$B$26:$B$28,B11+1),K11&gt;=INDEX(Inputs!$C$26:$C$28,B11+1)+Inputs!$B$22),INDEX(Inputs!$C$26:$C$28,B11+1),0))</f>
        <v>0</v>
      </c>
      <c r="M11" s="5">
        <f t="shared" si="1"/>
        <v>63.115999999999758</v>
      </c>
      <c r="N11" s="15" t="str">
        <f t="shared" si="2"/>
        <v>OK</v>
      </c>
    </row>
    <row r="12" spans="1:14" x14ac:dyDescent="0.3">
      <c r="A12" s="6">
        <v>8</v>
      </c>
      <c r="B12" s="6">
        <f t="shared" si="3"/>
        <v>2</v>
      </c>
      <c r="C12" s="6">
        <f>MIN(INDEX(Inputs!$E$26:$E$28,B12)+(A12-1)*Inputs!$B$17,Inputs!$B$23)</f>
        <v>14</v>
      </c>
      <c r="D12" s="6">
        <f>C12*Inputs!$B$13</f>
        <v>98</v>
      </c>
      <c r="E12" s="11">
        <f>Inputs!$B$18*(1+Inputs!C$7*(Inputs!$B$19-1))*Inputs!C$5*Inputs!C$6</f>
        <v>5.76</v>
      </c>
      <c r="F12" s="13">
        <f>D12*Inputs!C$8</f>
        <v>93.1</v>
      </c>
      <c r="G12" s="4">
        <f t="shared" si="0"/>
        <v>536.25599999999997</v>
      </c>
      <c r="H12" s="13">
        <f>F12*Inputs!C$7</f>
        <v>37.24</v>
      </c>
      <c r="I12" s="4">
        <f>MAX(0,H12-IF(A12=1,Inputs!$B$21,0))*Inputs!$B$20</f>
        <v>111.72</v>
      </c>
      <c r="J12" s="4">
        <f>Inputs!$B$15+(A12-1)*Inputs!$B$16+SUMIF(Inputs!$A$26:$A$28,"&lt;="&amp;B12,Inputs!$D$26:$D$28)</f>
        <v>400</v>
      </c>
      <c r="K12" s="5">
        <f t="shared" si="4"/>
        <v>87.651999999999703</v>
      </c>
      <c r="L12" s="14">
        <f>IF(B12&gt;=COUNT(Inputs!$A$26:$A$28),0,IF(AND(K12&gt;=0,A12&gt;=INDEX(Inputs!$B$26:$B$28,B12+1),K12&gt;=INDEX(Inputs!$C$26:$C$28,B12+1)+Inputs!$B$22),INDEX(Inputs!$C$26:$C$28,B12+1),0))</f>
        <v>0</v>
      </c>
      <c r="M12" s="5">
        <f t="shared" si="1"/>
        <v>87.651999999999703</v>
      </c>
      <c r="N12" s="15" t="str">
        <f t="shared" si="2"/>
        <v>OK</v>
      </c>
    </row>
    <row r="13" spans="1:14" x14ac:dyDescent="0.3">
      <c r="A13" s="6">
        <v>9</v>
      </c>
      <c r="B13" s="6">
        <f t="shared" si="3"/>
        <v>2</v>
      </c>
      <c r="C13" s="6">
        <f>MIN(INDEX(Inputs!$E$26:$E$28,B13)+(A13-1)*Inputs!$B$17,Inputs!$B$23)</f>
        <v>14</v>
      </c>
      <c r="D13" s="6">
        <f>C13*Inputs!$B$13</f>
        <v>98</v>
      </c>
      <c r="E13" s="11">
        <f>Inputs!$B$18*(1+Inputs!C$7*(Inputs!$B$19-1))*Inputs!C$5*Inputs!C$6</f>
        <v>5.76</v>
      </c>
      <c r="F13" s="13">
        <f>D13*Inputs!C$8</f>
        <v>93.1</v>
      </c>
      <c r="G13" s="4">
        <f t="shared" si="0"/>
        <v>536.25599999999997</v>
      </c>
      <c r="H13" s="13">
        <f>F13*Inputs!C$7</f>
        <v>37.24</v>
      </c>
      <c r="I13" s="4">
        <f>MAX(0,H13-IF(A13=1,Inputs!$B$21,0))*Inputs!$B$20</f>
        <v>111.72</v>
      </c>
      <c r="J13" s="4">
        <f>Inputs!$B$15+(A13-1)*Inputs!$B$16+SUMIF(Inputs!$A$26:$A$28,"&lt;="&amp;B13,Inputs!$D$26:$D$28)</f>
        <v>430</v>
      </c>
      <c r="K13" s="5">
        <f t="shared" si="4"/>
        <v>82.187999999999647</v>
      </c>
      <c r="L13" s="14">
        <f>IF(B13&gt;=COUNT(Inputs!$A$26:$A$28),0,IF(AND(K13&gt;=0,A13&gt;=INDEX(Inputs!$B$26:$B$28,B13+1),K13&gt;=INDEX(Inputs!$C$26:$C$28,B13+1)+Inputs!$B$22),INDEX(Inputs!$C$26:$C$28,B13+1),0))</f>
        <v>0</v>
      </c>
      <c r="M13" s="5">
        <f t="shared" si="1"/>
        <v>82.187999999999647</v>
      </c>
      <c r="N13" s="15" t="str">
        <f t="shared" si="2"/>
        <v>OK</v>
      </c>
    </row>
    <row r="14" spans="1:14" x14ac:dyDescent="0.3">
      <c r="A14" s="6">
        <v>10</v>
      </c>
      <c r="B14" s="6">
        <f t="shared" si="3"/>
        <v>2</v>
      </c>
      <c r="C14" s="6">
        <f>MIN(INDEX(Inputs!$E$26:$E$28,B14)+(A14-1)*Inputs!$B$17,Inputs!$B$23)</f>
        <v>14</v>
      </c>
      <c r="D14" s="6">
        <f>C14*Inputs!$B$13</f>
        <v>98</v>
      </c>
      <c r="E14" s="11">
        <f>Inputs!$B$18*(1+Inputs!C$7*(Inputs!$B$19-1))*Inputs!C$5*Inputs!C$6</f>
        <v>5.76</v>
      </c>
      <c r="F14" s="13">
        <f>D14*Inputs!C$8</f>
        <v>93.1</v>
      </c>
      <c r="G14" s="4">
        <f t="shared" si="0"/>
        <v>536.25599999999997</v>
      </c>
      <c r="H14" s="13">
        <f>F14*Inputs!C$7</f>
        <v>37.24</v>
      </c>
      <c r="I14" s="4">
        <f>MAX(0,H14-IF(A14=1,Inputs!$B$21,0))*Inputs!$B$20</f>
        <v>111.72</v>
      </c>
      <c r="J14" s="4">
        <f>Inputs!$B$15+(A14-1)*Inputs!$B$16+SUMIF(Inputs!$A$26:$A$28,"&lt;="&amp;B14,Inputs!$D$26:$D$28)</f>
        <v>460</v>
      </c>
      <c r="K14" s="5">
        <f t="shared" si="4"/>
        <v>46.723999999999592</v>
      </c>
      <c r="L14" s="14">
        <f>IF(B14&gt;=COUNT(Inputs!$A$26:$A$28),0,IF(AND(K14&gt;=0,A14&gt;=INDEX(Inputs!$B$26:$B$28,B14+1),K14&gt;=INDEX(Inputs!$C$26:$C$28,B14+1)+Inputs!$B$22),INDEX(Inputs!$C$26:$C$28,B14+1),0))</f>
        <v>0</v>
      </c>
      <c r="M14" s="5">
        <f t="shared" si="1"/>
        <v>46.723999999999592</v>
      </c>
      <c r="N14" s="15" t="str">
        <f t="shared" si="2"/>
        <v>OK</v>
      </c>
    </row>
    <row r="15" spans="1:14" x14ac:dyDescent="0.3">
      <c r="A15" s="6">
        <v>11</v>
      </c>
      <c r="B15" s="6">
        <f t="shared" si="3"/>
        <v>2</v>
      </c>
      <c r="C15" s="6">
        <f>MIN(INDEX(Inputs!$E$26:$E$28,B15)+(A15-1)*Inputs!$B$17,Inputs!$B$23)</f>
        <v>14</v>
      </c>
      <c r="D15" s="6">
        <f>C15*Inputs!$B$13</f>
        <v>98</v>
      </c>
      <c r="E15" s="11">
        <f>Inputs!$B$18*(1+Inputs!C$7*(Inputs!$B$19-1))*Inputs!C$5*Inputs!C$6</f>
        <v>5.76</v>
      </c>
      <c r="F15" s="13">
        <f>D15*Inputs!C$8</f>
        <v>93.1</v>
      </c>
      <c r="G15" s="4">
        <f t="shared" si="0"/>
        <v>536.25599999999997</v>
      </c>
      <c r="H15" s="13">
        <f>F15*Inputs!C$7</f>
        <v>37.24</v>
      </c>
      <c r="I15" s="4">
        <f>MAX(0,H15-IF(A15=1,Inputs!$B$21,0))*Inputs!$B$20</f>
        <v>111.72</v>
      </c>
      <c r="J15" s="4">
        <f>Inputs!$B$15+(A15-1)*Inputs!$B$16+SUMIF(Inputs!$A$26:$A$28,"&lt;="&amp;B15,Inputs!$D$26:$D$28)</f>
        <v>490</v>
      </c>
      <c r="K15" s="5">
        <f t="shared" si="4"/>
        <v>-18.740000000000464</v>
      </c>
      <c r="L15" s="14">
        <f>IF(B15&gt;=COUNT(Inputs!$A$26:$A$28),0,IF(AND(K15&gt;=0,A15&gt;=INDEX(Inputs!$B$26:$B$28,B15+1),K15&gt;=INDEX(Inputs!$C$26:$C$28,B15+1)+Inputs!$B$22),INDEX(Inputs!$C$26:$C$28,B15+1),0))</f>
        <v>0</v>
      </c>
      <c r="M15" s="5">
        <f t="shared" si="1"/>
        <v>-18.740000000000464</v>
      </c>
      <c r="N15" s="15" t="str">
        <f t="shared" si="2"/>
        <v>FAIL</v>
      </c>
    </row>
    <row r="16" spans="1:14" x14ac:dyDescent="0.3">
      <c r="A16" s="6">
        <v>12</v>
      </c>
      <c r="B16" s="6">
        <f t="shared" si="3"/>
        <v>2</v>
      </c>
      <c r="C16" s="6">
        <f>MIN(INDEX(Inputs!$E$26:$E$28,B16)+(A16-1)*Inputs!$B$17,Inputs!$B$23)</f>
        <v>14</v>
      </c>
      <c r="D16" s="6">
        <f>C16*Inputs!$B$13</f>
        <v>98</v>
      </c>
      <c r="E16" s="11">
        <f>Inputs!$B$18*(1+Inputs!C$7*(Inputs!$B$19-1))*Inputs!C$5*Inputs!C$6</f>
        <v>5.76</v>
      </c>
      <c r="F16" s="13">
        <f>D16*Inputs!C$8</f>
        <v>93.1</v>
      </c>
      <c r="G16" s="4">
        <f t="shared" si="0"/>
        <v>536.25599999999997</v>
      </c>
      <c r="H16" s="13">
        <f>F16*Inputs!C$7</f>
        <v>37.24</v>
      </c>
      <c r="I16" s="4">
        <f>MAX(0,H16-IF(A16=1,Inputs!$B$21,0))*Inputs!$B$20</f>
        <v>111.72</v>
      </c>
      <c r="J16" s="4">
        <f>Inputs!$B$15+(A16-1)*Inputs!$B$16+SUMIF(Inputs!$A$26:$A$28,"&lt;="&amp;B16,Inputs!$D$26:$D$28)</f>
        <v>520</v>
      </c>
      <c r="K16" s="5">
        <f t="shared" si="4"/>
        <v>-114.20400000000052</v>
      </c>
      <c r="L16" s="14">
        <f>IF(B16&gt;=COUNT(Inputs!$A$26:$A$28),0,IF(AND(K16&gt;=0,A16&gt;=INDEX(Inputs!$B$26:$B$28,B16+1),K16&gt;=INDEX(Inputs!$C$26:$C$28,B16+1)+Inputs!$B$22),INDEX(Inputs!$C$26:$C$28,B16+1),0))</f>
        <v>0</v>
      </c>
      <c r="M16" s="5">
        <f t="shared" si="1"/>
        <v>-114.20400000000052</v>
      </c>
      <c r="N16" s="15" t="str">
        <f t="shared" si="2"/>
        <v>FAIL</v>
      </c>
    </row>
    <row r="17" spans="1:14" x14ac:dyDescent="0.3">
      <c r="A17" s="6">
        <v>13</v>
      </c>
      <c r="B17" s="6">
        <f t="shared" si="3"/>
        <v>2</v>
      </c>
      <c r="C17" s="6">
        <f>MIN(INDEX(Inputs!$E$26:$E$28,B17)+(A17-1)*Inputs!$B$17,Inputs!$B$23)</f>
        <v>14</v>
      </c>
      <c r="D17" s="6">
        <f>C17*Inputs!$B$13</f>
        <v>98</v>
      </c>
      <c r="E17" s="11">
        <f>Inputs!$B$18*(1+Inputs!C$7*(Inputs!$B$19-1))*Inputs!C$5*Inputs!C$6</f>
        <v>5.76</v>
      </c>
      <c r="F17" s="13">
        <f>D17*Inputs!C$8</f>
        <v>93.1</v>
      </c>
      <c r="G17" s="4">
        <f t="shared" si="0"/>
        <v>536.25599999999997</v>
      </c>
      <c r="H17" s="13">
        <f>F17*Inputs!C$7</f>
        <v>37.24</v>
      </c>
      <c r="I17" s="4">
        <f>MAX(0,H17-IF(A17=1,Inputs!$B$21,0))*Inputs!$B$20</f>
        <v>111.72</v>
      </c>
      <c r="J17" s="4">
        <f>Inputs!$B$15+(A17-1)*Inputs!$B$16+SUMIF(Inputs!$A$26:$A$28,"&lt;="&amp;B17,Inputs!$D$26:$D$28)</f>
        <v>550</v>
      </c>
      <c r="K17" s="5">
        <f t="shared" si="4"/>
        <v>-239.66800000000057</v>
      </c>
      <c r="L17" s="14">
        <f>IF(B17&gt;=COUNT(Inputs!$A$26:$A$28),0,IF(AND(K17&gt;=0,A17&gt;=INDEX(Inputs!$B$26:$B$28,B17+1),K17&gt;=INDEX(Inputs!$C$26:$C$28,B17+1)+Inputs!$B$22),INDEX(Inputs!$C$26:$C$28,B17+1),0))</f>
        <v>0</v>
      </c>
      <c r="M17" s="5">
        <f t="shared" si="1"/>
        <v>-239.66800000000057</v>
      </c>
      <c r="N17" s="15" t="str">
        <f t="shared" si="2"/>
        <v>FAIL</v>
      </c>
    </row>
    <row r="18" spans="1:14" x14ac:dyDescent="0.3">
      <c r="A18" s="6">
        <v>14</v>
      </c>
      <c r="B18" s="6">
        <f t="shared" si="3"/>
        <v>2</v>
      </c>
      <c r="C18" s="6">
        <f>MIN(INDEX(Inputs!$E$26:$E$28,B18)+(A18-1)*Inputs!$B$17,Inputs!$B$23)</f>
        <v>14</v>
      </c>
      <c r="D18" s="6">
        <f>C18*Inputs!$B$13</f>
        <v>98</v>
      </c>
      <c r="E18" s="11">
        <f>Inputs!$B$18*(1+Inputs!C$7*(Inputs!$B$19-1))*Inputs!C$5*Inputs!C$6</f>
        <v>5.76</v>
      </c>
      <c r="F18" s="13">
        <f>D18*Inputs!C$8</f>
        <v>93.1</v>
      </c>
      <c r="G18" s="4">
        <f t="shared" si="0"/>
        <v>536.25599999999997</v>
      </c>
      <c r="H18" s="13">
        <f>F18*Inputs!C$7</f>
        <v>37.24</v>
      </c>
      <c r="I18" s="4">
        <f>MAX(0,H18-IF(A18=1,Inputs!$B$21,0))*Inputs!$B$20</f>
        <v>111.72</v>
      </c>
      <c r="J18" s="4">
        <f>Inputs!$B$15+(A18-1)*Inputs!$B$16+SUMIF(Inputs!$A$26:$A$28,"&lt;="&amp;B18,Inputs!$D$26:$D$28)</f>
        <v>580</v>
      </c>
      <c r="K18" s="5">
        <f t="shared" si="4"/>
        <v>-395.13200000000063</v>
      </c>
      <c r="L18" s="14">
        <f>IF(B18&gt;=COUNT(Inputs!$A$26:$A$28),0,IF(AND(K18&gt;=0,A18&gt;=INDEX(Inputs!$B$26:$B$28,B18+1),K18&gt;=INDEX(Inputs!$C$26:$C$28,B18+1)+Inputs!$B$22),INDEX(Inputs!$C$26:$C$28,B18+1),0))</f>
        <v>0</v>
      </c>
      <c r="M18" s="5">
        <f t="shared" si="1"/>
        <v>-395.13200000000063</v>
      </c>
      <c r="N18" s="15" t="str">
        <f t="shared" si="2"/>
        <v>FAIL</v>
      </c>
    </row>
    <row r="19" spans="1:14" x14ac:dyDescent="0.3">
      <c r="A19" s="6">
        <v>15</v>
      </c>
      <c r="B19" s="6">
        <f t="shared" si="3"/>
        <v>2</v>
      </c>
      <c r="C19" s="6">
        <f>MIN(INDEX(Inputs!$E$26:$E$28,B19)+(A19-1)*Inputs!$B$17,Inputs!$B$23)</f>
        <v>14</v>
      </c>
      <c r="D19" s="6">
        <f>C19*Inputs!$B$13</f>
        <v>98</v>
      </c>
      <c r="E19" s="11">
        <f>Inputs!$B$18*(1+Inputs!C$7*(Inputs!$B$19-1))*Inputs!C$5*Inputs!C$6</f>
        <v>5.76</v>
      </c>
      <c r="F19" s="13">
        <f>D19*Inputs!C$8</f>
        <v>93.1</v>
      </c>
      <c r="G19" s="4">
        <f t="shared" si="0"/>
        <v>536.25599999999997</v>
      </c>
      <c r="H19" s="13">
        <f>F19*Inputs!C$7</f>
        <v>37.24</v>
      </c>
      <c r="I19" s="4">
        <f>MAX(0,H19-IF(A19=1,Inputs!$B$21,0))*Inputs!$B$20</f>
        <v>111.72</v>
      </c>
      <c r="J19" s="4">
        <f>Inputs!$B$15+(A19-1)*Inputs!$B$16+SUMIF(Inputs!$A$26:$A$28,"&lt;="&amp;B19,Inputs!$D$26:$D$28)</f>
        <v>610</v>
      </c>
      <c r="K19" s="5">
        <f t="shared" si="4"/>
        <v>-580.59600000000069</v>
      </c>
      <c r="L19" s="14">
        <f>IF(B19&gt;=COUNT(Inputs!$A$26:$A$28),0,IF(AND(K19&gt;=0,A19&gt;=INDEX(Inputs!$B$26:$B$28,B19+1),K19&gt;=INDEX(Inputs!$C$26:$C$28,B19+1)+Inputs!$B$22),INDEX(Inputs!$C$26:$C$28,B19+1),0))</f>
        <v>0</v>
      </c>
      <c r="M19" s="5">
        <f t="shared" si="1"/>
        <v>-580.59600000000069</v>
      </c>
      <c r="N19" s="15" t="str">
        <f t="shared" si="2"/>
        <v>FAIL</v>
      </c>
    </row>
    <row r="20" spans="1:14" x14ac:dyDescent="0.3">
      <c r="A20" s="6">
        <v>16</v>
      </c>
      <c r="B20" s="6">
        <f t="shared" si="3"/>
        <v>2</v>
      </c>
      <c r="C20" s="6">
        <f>MIN(INDEX(Inputs!$E$26:$E$28,B20)+(A20-1)*Inputs!$B$17,Inputs!$B$23)</f>
        <v>14</v>
      </c>
      <c r="D20" s="6">
        <f>C20*Inputs!$B$13</f>
        <v>98</v>
      </c>
      <c r="E20" s="11">
        <f>Inputs!$B$18*(1+Inputs!C$7*(Inputs!$B$19-1))*Inputs!C$5*Inputs!C$6</f>
        <v>5.76</v>
      </c>
      <c r="F20" s="13">
        <f>D20*Inputs!C$8</f>
        <v>93.1</v>
      </c>
      <c r="G20" s="4">
        <f t="shared" si="0"/>
        <v>536.25599999999997</v>
      </c>
      <c r="H20" s="13">
        <f>F20*Inputs!C$7</f>
        <v>37.24</v>
      </c>
      <c r="I20" s="4">
        <f>MAX(0,H20-IF(A20=1,Inputs!$B$21,0))*Inputs!$B$20</f>
        <v>111.72</v>
      </c>
      <c r="J20" s="4">
        <f>Inputs!$B$15+(A20-1)*Inputs!$B$16+SUMIF(Inputs!$A$26:$A$28,"&lt;="&amp;B20,Inputs!$D$26:$D$28)</f>
        <v>640</v>
      </c>
      <c r="K20" s="5">
        <f t="shared" si="4"/>
        <v>-796.06000000000074</v>
      </c>
      <c r="L20" s="14">
        <f>IF(B20&gt;=COUNT(Inputs!$A$26:$A$28),0,IF(AND(K20&gt;=0,A20&gt;=INDEX(Inputs!$B$26:$B$28,B20+1),K20&gt;=INDEX(Inputs!$C$26:$C$28,B20+1)+Inputs!$B$22),INDEX(Inputs!$C$26:$C$28,B20+1),0))</f>
        <v>0</v>
      </c>
      <c r="M20" s="5">
        <f t="shared" si="1"/>
        <v>-796.06000000000074</v>
      </c>
      <c r="N20" s="15" t="str">
        <f t="shared" si="2"/>
        <v>FAIL</v>
      </c>
    </row>
    <row r="21" spans="1:14" x14ac:dyDescent="0.3">
      <c r="A21" s="6">
        <v>17</v>
      </c>
      <c r="B21" s="6">
        <f t="shared" si="3"/>
        <v>2</v>
      </c>
      <c r="C21" s="6">
        <f>MIN(INDEX(Inputs!$E$26:$E$28,B21)+(A21-1)*Inputs!$B$17,Inputs!$B$23)</f>
        <v>14</v>
      </c>
      <c r="D21" s="6">
        <f>C21*Inputs!$B$13</f>
        <v>98</v>
      </c>
      <c r="E21" s="11">
        <f>Inputs!$B$18*(1+Inputs!C$7*(Inputs!$B$19-1))*Inputs!C$5*Inputs!C$6</f>
        <v>5.76</v>
      </c>
      <c r="F21" s="13">
        <f>D21*Inputs!C$8</f>
        <v>93.1</v>
      </c>
      <c r="G21" s="4">
        <f t="shared" si="0"/>
        <v>536.25599999999997</v>
      </c>
      <c r="H21" s="13">
        <f>F21*Inputs!C$7</f>
        <v>37.24</v>
      </c>
      <c r="I21" s="4">
        <f>MAX(0,H21-IF(A21=1,Inputs!$B$21,0))*Inputs!$B$20</f>
        <v>111.72</v>
      </c>
      <c r="J21" s="4">
        <f>Inputs!$B$15+(A21-1)*Inputs!$B$16+SUMIF(Inputs!$A$26:$A$28,"&lt;="&amp;B21,Inputs!$D$26:$D$28)</f>
        <v>670</v>
      </c>
      <c r="K21" s="5">
        <f t="shared" si="4"/>
        <v>-1041.5240000000008</v>
      </c>
      <c r="L21" s="14">
        <f>IF(B21&gt;=COUNT(Inputs!$A$26:$A$28),0,IF(AND(K21&gt;=0,A21&gt;=INDEX(Inputs!$B$26:$B$28,B21+1),K21&gt;=INDEX(Inputs!$C$26:$C$28,B21+1)+Inputs!$B$22),INDEX(Inputs!$C$26:$C$28,B21+1),0))</f>
        <v>0</v>
      </c>
      <c r="M21" s="5">
        <f t="shared" si="1"/>
        <v>-1041.5240000000008</v>
      </c>
      <c r="N21" s="15" t="str">
        <f t="shared" si="2"/>
        <v>FAIL</v>
      </c>
    </row>
    <row r="22" spans="1:14" x14ac:dyDescent="0.3">
      <c r="A22" s="6">
        <v>18</v>
      </c>
      <c r="B22" s="6">
        <f t="shared" si="3"/>
        <v>2</v>
      </c>
      <c r="C22" s="6">
        <f>MIN(INDEX(Inputs!$E$26:$E$28,B22)+(A22-1)*Inputs!$B$17,Inputs!$B$23)</f>
        <v>14</v>
      </c>
      <c r="D22" s="6">
        <f>C22*Inputs!$B$13</f>
        <v>98</v>
      </c>
      <c r="E22" s="11">
        <f>Inputs!$B$18*(1+Inputs!C$7*(Inputs!$B$19-1))*Inputs!C$5*Inputs!C$6</f>
        <v>5.76</v>
      </c>
      <c r="F22" s="13">
        <f>D22*Inputs!C$8</f>
        <v>93.1</v>
      </c>
      <c r="G22" s="4">
        <f t="shared" si="0"/>
        <v>536.25599999999997</v>
      </c>
      <c r="H22" s="13">
        <f>F22*Inputs!C$7</f>
        <v>37.24</v>
      </c>
      <c r="I22" s="4">
        <f>MAX(0,H22-IF(A22=1,Inputs!$B$21,0))*Inputs!$B$20</f>
        <v>111.72</v>
      </c>
      <c r="J22" s="4">
        <f>Inputs!$B$15+(A22-1)*Inputs!$B$16+SUMIF(Inputs!$A$26:$A$28,"&lt;="&amp;B22,Inputs!$D$26:$D$28)</f>
        <v>700</v>
      </c>
      <c r="K22" s="5">
        <f t="shared" si="4"/>
        <v>-1316.9880000000007</v>
      </c>
      <c r="L22" s="14">
        <f>IF(B22&gt;=COUNT(Inputs!$A$26:$A$28),0,IF(AND(K22&gt;=0,A22&gt;=INDEX(Inputs!$B$26:$B$28,B22+1),K22&gt;=INDEX(Inputs!$C$26:$C$28,B22+1)+Inputs!$B$22),INDEX(Inputs!$C$26:$C$28,B22+1),0))</f>
        <v>0</v>
      </c>
      <c r="M22" s="5">
        <f t="shared" si="1"/>
        <v>-1316.9880000000007</v>
      </c>
      <c r="N22" s="15" t="str">
        <f t="shared" si="2"/>
        <v>FAIL</v>
      </c>
    </row>
    <row r="23" spans="1:14" x14ac:dyDescent="0.3">
      <c r="A23" s="6">
        <v>19</v>
      </c>
      <c r="B23" s="6">
        <f t="shared" si="3"/>
        <v>2</v>
      </c>
      <c r="C23" s="6">
        <f>MIN(INDEX(Inputs!$E$26:$E$28,B23)+(A23-1)*Inputs!$B$17,Inputs!$B$23)</f>
        <v>14</v>
      </c>
      <c r="D23" s="6">
        <f>C23*Inputs!$B$13</f>
        <v>98</v>
      </c>
      <c r="E23" s="11">
        <f>Inputs!$B$18*(1+Inputs!C$7*(Inputs!$B$19-1))*Inputs!C$5*Inputs!C$6</f>
        <v>5.76</v>
      </c>
      <c r="F23" s="13">
        <f>D23*Inputs!C$8</f>
        <v>93.1</v>
      </c>
      <c r="G23" s="4">
        <f t="shared" si="0"/>
        <v>536.25599999999997</v>
      </c>
      <c r="H23" s="13">
        <f>F23*Inputs!C$7</f>
        <v>37.24</v>
      </c>
      <c r="I23" s="4">
        <f>MAX(0,H23-IF(A23=1,Inputs!$B$21,0))*Inputs!$B$20</f>
        <v>111.72</v>
      </c>
      <c r="J23" s="4">
        <f>Inputs!$B$15+(A23-1)*Inputs!$B$16+SUMIF(Inputs!$A$26:$A$28,"&lt;="&amp;B23,Inputs!$D$26:$D$28)</f>
        <v>730</v>
      </c>
      <c r="K23" s="5">
        <f t="shared" si="4"/>
        <v>-1622.4520000000007</v>
      </c>
      <c r="L23" s="14">
        <f>IF(B23&gt;=COUNT(Inputs!$A$26:$A$28),0,IF(AND(K23&gt;=0,A23&gt;=INDEX(Inputs!$B$26:$B$28,B23+1),K23&gt;=INDEX(Inputs!$C$26:$C$28,B23+1)+Inputs!$B$22),INDEX(Inputs!$C$26:$C$28,B23+1),0))</f>
        <v>0</v>
      </c>
      <c r="M23" s="5">
        <f t="shared" si="1"/>
        <v>-1622.4520000000007</v>
      </c>
      <c r="N23" s="15" t="str">
        <f t="shared" si="2"/>
        <v>FAIL</v>
      </c>
    </row>
    <row r="24" spans="1:14" x14ac:dyDescent="0.3">
      <c r="A24" s="6">
        <v>20</v>
      </c>
      <c r="B24" s="6">
        <f t="shared" si="3"/>
        <v>2</v>
      </c>
      <c r="C24" s="6">
        <f>MIN(INDEX(Inputs!$E$26:$E$28,B24)+(A24-1)*Inputs!$B$17,Inputs!$B$23)</f>
        <v>14</v>
      </c>
      <c r="D24" s="6">
        <f>C24*Inputs!$B$13</f>
        <v>98</v>
      </c>
      <c r="E24" s="11">
        <f>Inputs!$B$18*(1+Inputs!C$7*(Inputs!$B$19-1))*Inputs!C$5*Inputs!C$6</f>
        <v>5.76</v>
      </c>
      <c r="F24" s="13">
        <f>D24*Inputs!C$8</f>
        <v>93.1</v>
      </c>
      <c r="G24" s="4">
        <f t="shared" si="0"/>
        <v>536.25599999999997</v>
      </c>
      <c r="H24" s="13">
        <f>F24*Inputs!C$7</f>
        <v>37.24</v>
      </c>
      <c r="I24" s="4">
        <f>MAX(0,H24-IF(A24=1,Inputs!$B$21,0))*Inputs!$B$20</f>
        <v>111.72</v>
      </c>
      <c r="J24" s="4">
        <f>Inputs!$B$15+(A24-1)*Inputs!$B$16+SUMIF(Inputs!$A$26:$A$28,"&lt;="&amp;B24,Inputs!$D$26:$D$28)</f>
        <v>760</v>
      </c>
      <c r="K24" s="5">
        <f t="shared" si="4"/>
        <v>-1957.9160000000008</v>
      </c>
      <c r="L24" s="14">
        <f>IF(B24&gt;=COUNT(Inputs!$A$26:$A$28),0,IF(AND(K24&gt;=0,A24&gt;=INDEX(Inputs!$B$26:$B$28,B24+1),K24&gt;=INDEX(Inputs!$C$26:$C$28,B24+1)+Inputs!$B$22),INDEX(Inputs!$C$26:$C$28,B24+1),0))</f>
        <v>0</v>
      </c>
      <c r="M24" s="5">
        <f t="shared" si="1"/>
        <v>-1957.9160000000008</v>
      </c>
      <c r="N24" s="15" t="str">
        <f t="shared" si="2"/>
        <v>FAIL</v>
      </c>
    </row>
    <row r="25" spans="1:14" x14ac:dyDescent="0.3">
      <c r="A25" s="6">
        <v>21</v>
      </c>
      <c r="B25" s="6">
        <f t="shared" si="3"/>
        <v>2</v>
      </c>
      <c r="C25" s="6">
        <f>MIN(INDEX(Inputs!$E$26:$E$28,B25)+(A25-1)*Inputs!$B$17,Inputs!$B$23)</f>
        <v>14</v>
      </c>
      <c r="D25" s="6">
        <f>C25*Inputs!$B$13</f>
        <v>98</v>
      </c>
      <c r="E25" s="11">
        <f>Inputs!$B$18*(1+Inputs!C$7*(Inputs!$B$19-1))*Inputs!C$5*Inputs!C$6</f>
        <v>5.76</v>
      </c>
      <c r="F25" s="13">
        <f>D25*Inputs!C$8</f>
        <v>93.1</v>
      </c>
      <c r="G25" s="4">
        <f t="shared" si="0"/>
        <v>536.25599999999997</v>
      </c>
      <c r="H25" s="13">
        <f>F25*Inputs!C$7</f>
        <v>37.24</v>
      </c>
      <c r="I25" s="4">
        <f>MAX(0,H25-IF(A25=1,Inputs!$B$21,0))*Inputs!$B$20</f>
        <v>111.72</v>
      </c>
      <c r="J25" s="4">
        <f>Inputs!$B$15+(A25-1)*Inputs!$B$16+SUMIF(Inputs!$A$26:$A$28,"&lt;="&amp;B25,Inputs!$D$26:$D$28)</f>
        <v>790</v>
      </c>
      <c r="K25" s="5">
        <f t="shared" si="4"/>
        <v>-2323.380000000001</v>
      </c>
      <c r="L25" s="14">
        <f>IF(B25&gt;=COUNT(Inputs!$A$26:$A$28),0,IF(AND(K25&gt;=0,A25&gt;=INDEX(Inputs!$B$26:$B$28,B25+1),K25&gt;=INDEX(Inputs!$C$26:$C$28,B25+1)+Inputs!$B$22),INDEX(Inputs!$C$26:$C$28,B25+1),0))</f>
        <v>0</v>
      </c>
      <c r="M25" s="5">
        <f t="shared" si="1"/>
        <v>-2323.380000000001</v>
      </c>
      <c r="N25" s="15" t="str">
        <f t="shared" si="2"/>
        <v>FAIL</v>
      </c>
    </row>
    <row r="26" spans="1:14" x14ac:dyDescent="0.3">
      <c r="A26" s="6">
        <v>22</v>
      </c>
      <c r="B26" s="6">
        <f t="shared" si="3"/>
        <v>2</v>
      </c>
      <c r="C26" s="6">
        <f>MIN(INDEX(Inputs!$E$26:$E$28,B26)+(A26-1)*Inputs!$B$17,Inputs!$B$23)</f>
        <v>14</v>
      </c>
      <c r="D26" s="6">
        <f>C26*Inputs!$B$13</f>
        <v>98</v>
      </c>
      <c r="E26" s="11">
        <f>Inputs!$B$18*(1+Inputs!C$7*(Inputs!$B$19-1))*Inputs!C$5*Inputs!C$6</f>
        <v>5.76</v>
      </c>
      <c r="F26" s="13">
        <f>D26*Inputs!C$8</f>
        <v>93.1</v>
      </c>
      <c r="G26" s="4">
        <f t="shared" si="0"/>
        <v>536.25599999999997</v>
      </c>
      <c r="H26" s="13">
        <f>F26*Inputs!C$7</f>
        <v>37.24</v>
      </c>
      <c r="I26" s="4">
        <f>MAX(0,H26-IF(A26=1,Inputs!$B$21,0))*Inputs!$B$20</f>
        <v>111.72</v>
      </c>
      <c r="J26" s="4">
        <f>Inputs!$B$15+(A26-1)*Inputs!$B$16+SUMIF(Inputs!$A$26:$A$28,"&lt;="&amp;B26,Inputs!$D$26:$D$28)</f>
        <v>820</v>
      </c>
      <c r="K26" s="5">
        <f t="shared" si="4"/>
        <v>-2718.844000000001</v>
      </c>
      <c r="L26" s="14">
        <f>IF(B26&gt;=COUNT(Inputs!$A$26:$A$28),0,IF(AND(K26&gt;=0,A26&gt;=INDEX(Inputs!$B$26:$B$28,B26+1),K26&gt;=INDEX(Inputs!$C$26:$C$28,B26+1)+Inputs!$B$22),INDEX(Inputs!$C$26:$C$28,B26+1),0))</f>
        <v>0</v>
      </c>
      <c r="M26" s="5">
        <f t="shared" si="1"/>
        <v>-2718.844000000001</v>
      </c>
      <c r="N26" s="15" t="str">
        <f t="shared" si="2"/>
        <v>FAIL</v>
      </c>
    </row>
    <row r="27" spans="1:14" x14ac:dyDescent="0.3">
      <c r="A27" s="6">
        <v>23</v>
      </c>
      <c r="B27" s="6">
        <f t="shared" si="3"/>
        <v>2</v>
      </c>
      <c r="C27" s="6">
        <f>MIN(INDEX(Inputs!$E$26:$E$28,B27)+(A27-1)*Inputs!$B$17,Inputs!$B$23)</f>
        <v>14</v>
      </c>
      <c r="D27" s="6">
        <f>C27*Inputs!$B$13</f>
        <v>98</v>
      </c>
      <c r="E27" s="11">
        <f>Inputs!$B$18*(1+Inputs!C$7*(Inputs!$B$19-1))*Inputs!C$5*Inputs!C$6</f>
        <v>5.76</v>
      </c>
      <c r="F27" s="13">
        <f>D27*Inputs!C$8</f>
        <v>93.1</v>
      </c>
      <c r="G27" s="4">
        <f t="shared" si="0"/>
        <v>536.25599999999997</v>
      </c>
      <c r="H27" s="13">
        <f>F27*Inputs!C$7</f>
        <v>37.24</v>
      </c>
      <c r="I27" s="4">
        <f>MAX(0,H27-IF(A27=1,Inputs!$B$21,0))*Inputs!$B$20</f>
        <v>111.72</v>
      </c>
      <c r="J27" s="4">
        <f>Inputs!$B$15+(A27-1)*Inputs!$B$16+SUMIF(Inputs!$A$26:$A$28,"&lt;="&amp;B27,Inputs!$D$26:$D$28)</f>
        <v>850</v>
      </c>
      <c r="K27" s="5">
        <f t="shared" si="4"/>
        <v>-3144.3080000000009</v>
      </c>
      <c r="L27" s="14">
        <f>IF(B27&gt;=COUNT(Inputs!$A$26:$A$28),0,IF(AND(K27&gt;=0,A27&gt;=INDEX(Inputs!$B$26:$B$28,B27+1),K27&gt;=INDEX(Inputs!$C$26:$C$28,B27+1)+Inputs!$B$22),INDEX(Inputs!$C$26:$C$28,B27+1),0))</f>
        <v>0</v>
      </c>
      <c r="M27" s="5">
        <f t="shared" si="1"/>
        <v>-3144.3080000000009</v>
      </c>
      <c r="N27" s="15" t="str">
        <f t="shared" si="2"/>
        <v>FAIL</v>
      </c>
    </row>
    <row r="28" spans="1:14" x14ac:dyDescent="0.3">
      <c r="A28" s="6">
        <v>24</v>
      </c>
      <c r="B28" s="6">
        <f t="shared" si="3"/>
        <v>2</v>
      </c>
      <c r="C28" s="6">
        <f>MIN(INDEX(Inputs!$E$26:$E$28,B28)+(A28-1)*Inputs!$B$17,Inputs!$B$23)</f>
        <v>14</v>
      </c>
      <c r="D28" s="6">
        <f>C28*Inputs!$B$13</f>
        <v>98</v>
      </c>
      <c r="E28" s="11">
        <f>Inputs!$B$18*(1+Inputs!C$7*(Inputs!$B$19-1))*Inputs!C$5*Inputs!C$6</f>
        <v>5.76</v>
      </c>
      <c r="F28" s="13">
        <f>D28*Inputs!C$8</f>
        <v>93.1</v>
      </c>
      <c r="G28" s="4">
        <f t="shared" si="0"/>
        <v>536.25599999999997</v>
      </c>
      <c r="H28" s="13">
        <f>F28*Inputs!C$7</f>
        <v>37.24</v>
      </c>
      <c r="I28" s="4">
        <f>MAX(0,H28-IF(A28=1,Inputs!$B$21,0))*Inputs!$B$20</f>
        <v>111.72</v>
      </c>
      <c r="J28" s="4">
        <f>Inputs!$B$15+(A28-1)*Inputs!$B$16+SUMIF(Inputs!$A$26:$A$28,"&lt;="&amp;B28,Inputs!$D$26:$D$28)</f>
        <v>880</v>
      </c>
      <c r="K28" s="5">
        <f t="shared" si="4"/>
        <v>-3599.7720000000008</v>
      </c>
      <c r="L28" s="14">
        <f>IF(B28&gt;=COUNT(Inputs!$A$26:$A$28),0,IF(AND(K28&gt;=0,A28&gt;=INDEX(Inputs!$B$26:$B$28,B28+1),K28&gt;=INDEX(Inputs!$C$26:$C$28,B28+1)+Inputs!$B$22),INDEX(Inputs!$C$26:$C$28,B28+1),0))</f>
        <v>0</v>
      </c>
      <c r="M28" s="5">
        <f t="shared" si="1"/>
        <v>-3599.7720000000008</v>
      </c>
      <c r="N28" s="15" t="str">
        <f t="shared" si="2"/>
        <v>FAIL</v>
      </c>
    </row>
    <row r="29" spans="1:14" x14ac:dyDescent="0.3">
      <c r="A29" s="6">
        <v>25</v>
      </c>
      <c r="B29" s="6">
        <f t="shared" si="3"/>
        <v>2</v>
      </c>
      <c r="C29" s="6">
        <f>MIN(INDEX(Inputs!$E$26:$E$28,B29)+(A29-1)*Inputs!$B$17,Inputs!$B$23)</f>
        <v>14</v>
      </c>
      <c r="D29" s="6">
        <f>C29*Inputs!$B$13</f>
        <v>98</v>
      </c>
      <c r="E29" s="11">
        <f>Inputs!$B$18*(1+Inputs!C$7*(Inputs!$B$19-1))*Inputs!C$5*Inputs!C$6</f>
        <v>5.76</v>
      </c>
      <c r="F29" s="13">
        <f>D29*Inputs!C$8</f>
        <v>93.1</v>
      </c>
      <c r="G29" s="4">
        <f t="shared" si="0"/>
        <v>536.25599999999997</v>
      </c>
      <c r="H29" s="13">
        <f>F29*Inputs!C$7</f>
        <v>37.24</v>
      </c>
      <c r="I29" s="4">
        <f>MAX(0,H29-IF(A29=1,Inputs!$B$21,0))*Inputs!$B$20</f>
        <v>111.72</v>
      </c>
      <c r="J29" s="4">
        <f>Inputs!$B$15+(A29-1)*Inputs!$B$16+SUMIF(Inputs!$A$26:$A$28,"&lt;="&amp;B29,Inputs!$D$26:$D$28)</f>
        <v>910</v>
      </c>
      <c r="K29" s="5">
        <f t="shared" si="4"/>
        <v>-4085.2360000000008</v>
      </c>
      <c r="L29" s="14">
        <f>IF(B29&gt;=COUNT(Inputs!$A$26:$A$28),0,IF(AND(K29&gt;=0,A29&gt;=INDEX(Inputs!$B$26:$B$28,B29+1),K29&gt;=INDEX(Inputs!$C$26:$C$28,B29+1)+Inputs!$B$22),INDEX(Inputs!$C$26:$C$28,B29+1),0))</f>
        <v>0</v>
      </c>
      <c r="M29" s="5">
        <f t="shared" si="1"/>
        <v>-4085.2360000000008</v>
      </c>
      <c r="N29" s="15" t="str">
        <f t="shared" si="2"/>
        <v>FAIL</v>
      </c>
    </row>
    <row r="30" spans="1:14" x14ac:dyDescent="0.3">
      <c r="A30" s="6">
        <v>26</v>
      </c>
      <c r="B30" s="6">
        <f t="shared" si="3"/>
        <v>2</v>
      </c>
      <c r="C30" s="6">
        <f>MIN(INDEX(Inputs!$E$26:$E$28,B30)+(A30-1)*Inputs!$B$17,Inputs!$B$23)</f>
        <v>14</v>
      </c>
      <c r="D30" s="6">
        <f>C30*Inputs!$B$13</f>
        <v>98</v>
      </c>
      <c r="E30" s="11">
        <f>Inputs!$B$18*(1+Inputs!C$7*(Inputs!$B$19-1))*Inputs!C$5*Inputs!C$6</f>
        <v>5.76</v>
      </c>
      <c r="F30" s="13">
        <f>D30*Inputs!C$8</f>
        <v>93.1</v>
      </c>
      <c r="G30" s="4">
        <f t="shared" si="0"/>
        <v>536.25599999999997</v>
      </c>
      <c r="H30" s="13">
        <f>F30*Inputs!C$7</f>
        <v>37.24</v>
      </c>
      <c r="I30" s="4">
        <f>MAX(0,H30-IF(A30=1,Inputs!$B$21,0))*Inputs!$B$20</f>
        <v>111.72</v>
      </c>
      <c r="J30" s="4">
        <f>Inputs!$B$15+(A30-1)*Inputs!$B$16+SUMIF(Inputs!$A$26:$A$28,"&lt;="&amp;B30,Inputs!$D$26:$D$28)</f>
        <v>940</v>
      </c>
      <c r="K30" s="5">
        <f t="shared" si="4"/>
        <v>-4600.7000000000007</v>
      </c>
      <c r="L30" s="14">
        <f>IF(B30&gt;=COUNT(Inputs!$A$26:$A$28),0,IF(AND(K30&gt;=0,A30&gt;=INDEX(Inputs!$B$26:$B$28,B30+1),K30&gt;=INDEX(Inputs!$C$26:$C$28,B30+1)+Inputs!$B$22),INDEX(Inputs!$C$26:$C$28,B30+1),0))</f>
        <v>0</v>
      </c>
      <c r="M30" s="5">
        <f t="shared" si="1"/>
        <v>-4600.7000000000007</v>
      </c>
      <c r="N30" s="15" t="str">
        <f t="shared" si="2"/>
        <v>FAIL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"/>
  <sheetViews>
    <sheetView zoomScaleNormal="100" workbookViewId="0"/>
  </sheetViews>
  <sheetFormatPr defaultColWidth="8.6640625" defaultRowHeight="14.4" x14ac:dyDescent="0.3"/>
  <cols>
    <col min="1" max="14" width="14" customWidth="1"/>
  </cols>
  <sheetData>
    <row r="1" spans="1:14" ht="17.399999999999999" x14ac:dyDescent="0.3">
      <c r="A1" s="1" t="s">
        <v>61</v>
      </c>
    </row>
    <row r="2" spans="1:14" x14ac:dyDescent="0.3">
      <c r="A2" s="3" t="s">
        <v>46</v>
      </c>
    </row>
    <row r="4" spans="1:14" ht="31.5" customHeight="1" x14ac:dyDescent="0.3">
      <c r="A4" s="12" t="s">
        <v>47</v>
      </c>
      <c r="B4" s="12" t="s">
        <v>38</v>
      </c>
      <c r="C4" s="12" t="s">
        <v>48</v>
      </c>
      <c r="D4" s="12" t="s">
        <v>49</v>
      </c>
      <c r="E4" s="12" t="s">
        <v>50</v>
      </c>
      <c r="F4" s="12" t="s">
        <v>51</v>
      </c>
      <c r="G4" s="12" t="s">
        <v>52</v>
      </c>
      <c r="H4" s="12" t="s">
        <v>53</v>
      </c>
      <c r="I4" s="12" t="s">
        <v>54</v>
      </c>
      <c r="J4" s="12" t="s">
        <v>55</v>
      </c>
      <c r="K4" s="12" t="s">
        <v>56</v>
      </c>
      <c r="L4" s="12" t="s">
        <v>57</v>
      </c>
      <c r="M4" s="12" t="s">
        <v>58</v>
      </c>
      <c r="N4" s="12" t="s">
        <v>59</v>
      </c>
    </row>
    <row r="5" spans="1:14" x14ac:dyDescent="0.3">
      <c r="A5" s="6">
        <v>1</v>
      </c>
      <c r="B5" s="6">
        <v>1</v>
      </c>
      <c r="C5" s="6">
        <f>MIN(INDEX(Inputs!$E$26:$E$28,B5)+(A5-1)*Inputs!$B$17,Inputs!$B$23)</f>
        <v>5</v>
      </c>
      <c r="D5" s="6">
        <f>C5*Inputs!$B$13</f>
        <v>35</v>
      </c>
      <c r="E5" s="11">
        <f>Inputs!$B$18*(1+Inputs!D$7*(Inputs!$B$19-1))*Inputs!D$5*Inputs!D$6</f>
        <v>8.5800000000000018</v>
      </c>
      <c r="F5" s="13">
        <f>D5*Inputs!D$8</f>
        <v>35</v>
      </c>
      <c r="G5" s="4">
        <f t="shared" ref="G5:G30" si="0">F5*E5</f>
        <v>300.30000000000007</v>
      </c>
      <c r="H5" s="13">
        <f>F5*Inputs!D$7</f>
        <v>21</v>
      </c>
      <c r="I5" s="4">
        <f>MAX(0,H5-IF(A5=1,Inputs!$B$21,0))*Inputs!$B$20</f>
        <v>39</v>
      </c>
      <c r="J5" s="4">
        <f>Inputs!$B$15+(A5-1)*Inputs!$B$16+SUMIF(Inputs!$A$26:$A$28,"&lt;="&amp;B5,Inputs!$D$26:$D$28)</f>
        <v>130</v>
      </c>
      <c r="K5" s="5">
        <f>Inputs!$B$14+G5-I5-J5</f>
        <v>131.30000000000007</v>
      </c>
      <c r="L5" s="14">
        <f>IF(B5&gt;=COUNT(Inputs!$A$26:$A$28),0,IF(AND(K5&gt;=0,A5&gt;=INDEX(Inputs!$B$26:$B$28,B5+1),K5&gt;=INDEX(Inputs!$C$26:$C$28,B5+1)+Inputs!$B$22),INDEX(Inputs!$C$26:$C$28,B5+1),0))</f>
        <v>0</v>
      </c>
      <c r="M5" s="5">
        <f t="shared" ref="M5:M30" si="1">K5-L5</f>
        <v>131.30000000000007</v>
      </c>
      <c r="N5" s="15" t="str">
        <f t="shared" ref="N5:N30" si="2">IF(K5&lt;0,"FAIL","OK")</f>
        <v>OK</v>
      </c>
    </row>
    <row r="6" spans="1:14" x14ac:dyDescent="0.3">
      <c r="A6" s="6">
        <v>2</v>
      </c>
      <c r="B6" s="6">
        <f t="shared" ref="B6:B30" si="3">B5+IF(L5&gt;0,1,0)</f>
        <v>1</v>
      </c>
      <c r="C6" s="6">
        <f>MIN(INDEX(Inputs!$E$26:$E$28,B6)+(A6-1)*Inputs!$B$17,Inputs!$B$23)</f>
        <v>6</v>
      </c>
      <c r="D6" s="6">
        <f>C6*Inputs!$B$13</f>
        <v>42</v>
      </c>
      <c r="E6" s="11">
        <f>Inputs!$B$18*(1+Inputs!D$7*(Inputs!$B$19-1))*Inputs!D$5*Inputs!D$6</f>
        <v>8.5800000000000018</v>
      </c>
      <c r="F6" s="13">
        <f>D6*Inputs!D$8</f>
        <v>42</v>
      </c>
      <c r="G6" s="4">
        <f t="shared" si="0"/>
        <v>360.36000000000007</v>
      </c>
      <c r="H6" s="13">
        <f>F6*Inputs!D$7</f>
        <v>25.2</v>
      </c>
      <c r="I6" s="4">
        <f>MAX(0,H6-IF(A6=1,Inputs!$B$21,0))*Inputs!$B$20</f>
        <v>75.599999999999994</v>
      </c>
      <c r="J6" s="4">
        <f>Inputs!$B$15+(A6-1)*Inputs!$B$16+SUMIF(Inputs!$A$26:$A$28,"&lt;="&amp;B6,Inputs!$D$26:$D$28)</f>
        <v>160</v>
      </c>
      <c r="K6" s="5">
        <f t="shared" ref="K6:K30" si="4">M5+G6-I6-J6</f>
        <v>256.06000000000017</v>
      </c>
      <c r="L6" s="14">
        <f>IF(B6&gt;=COUNT(Inputs!$A$26:$A$28),0,IF(AND(K6&gt;=0,A6&gt;=INDEX(Inputs!$B$26:$B$28,B6+1),K6&gt;=INDEX(Inputs!$C$26:$C$28,B6+1)+Inputs!$B$22),INDEX(Inputs!$C$26:$C$28,B6+1),0))</f>
        <v>0</v>
      </c>
      <c r="M6" s="5">
        <f t="shared" si="1"/>
        <v>256.06000000000017</v>
      </c>
      <c r="N6" s="15" t="str">
        <f t="shared" si="2"/>
        <v>OK</v>
      </c>
    </row>
    <row r="7" spans="1:14" x14ac:dyDescent="0.3">
      <c r="A7" s="6">
        <v>3</v>
      </c>
      <c r="B7" s="6">
        <f t="shared" si="3"/>
        <v>1</v>
      </c>
      <c r="C7" s="6">
        <f>MIN(INDEX(Inputs!$E$26:$E$28,B7)+(A7-1)*Inputs!$B$17,Inputs!$B$23)</f>
        <v>7</v>
      </c>
      <c r="D7" s="6">
        <f>C7*Inputs!$B$13</f>
        <v>49</v>
      </c>
      <c r="E7" s="11">
        <f>Inputs!$B$18*(1+Inputs!D$7*(Inputs!$B$19-1))*Inputs!D$5*Inputs!D$6</f>
        <v>8.5800000000000018</v>
      </c>
      <c r="F7" s="13">
        <f>D7*Inputs!D$8</f>
        <v>49</v>
      </c>
      <c r="G7" s="4">
        <f t="shared" si="0"/>
        <v>420.42000000000007</v>
      </c>
      <c r="H7" s="13">
        <f>F7*Inputs!D$7</f>
        <v>29.4</v>
      </c>
      <c r="I7" s="4">
        <f>MAX(0,H7-IF(A7=1,Inputs!$B$21,0))*Inputs!$B$20</f>
        <v>88.199999999999989</v>
      </c>
      <c r="J7" s="4">
        <f>Inputs!$B$15+(A7-1)*Inputs!$B$16+SUMIF(Inputs!$A$26:$A$28,"&lt;="&amp;B7,Inputs!$D$26:$D$28)</f>
        <v>190</v>
      </c>
      <c r="K7" s="5">
        <f t="shared" si="4"/>
        <v>398.2800000000002</v>
      </c>
      <c r="L7" s="14">
        <f>IF(B7&gt;=COUNT(Inputs!$A$26:$A$28),0,IF(AND(K7&gt;=0,A7&gt;=INDEX(Inputs!$B$26:$B$28,B7+1),K7&gt;=INDEX(Inputs!$C$26:$C$28,B7+1)+Inputs!$B$22),INDEX(Inputs!$C$26:$C$28,B7+1),0))</f>
        <v>150</v>
      </c>
      <c r="M7" s="5">
        <f t="shared" si="1"/>
        <v>248.2800000000002</v>
      </c>
      <c r="N7" s="15" t="str">
        <f t="shared" si="2"/>
        <v>OK</v>
      </c>
    </row>
    <row r="8" spans="1:14" x14ac:dyDescent="0.3">
      <c r="A8" s="6">
        <v>4</v>
      </c>
      <c r="B8" s="6">
        <f t="shared" si="3"/>
        <v>2</v>
      </c>
      <c r="C8" s="6">
        <f>MIN(INDEX(Inputs!$E$26:$E$28,B8)+(A8-1)*Inputs!$B$17,Inputs!$B$23)</f>
        <v>11</v>
      </c>
      <c r="D8" s="6">
        <f>C8*Inputs!$B$13</f>
        <v>77</v>
      </c>
      <c r="E8" s="11">
        <f>Inputs!$B$18*(1+Inputs!D$7*(Inputs!$B$19-1))*Inputs!D$5*Inputs!D$6</f>
        <v>8.5800000000000018</v>
      </c>
      <c r="F8" s="13">
        <f>D8*Inputs!D$8</f>
        <v>77</v>
      </c>
      <c r="G8" s="4">
        <f t="shared" si="0"/>
        <v>660.6600000000002</v>
      </c>
      <c r="H8" s="13">
        <f>F8*Inputs!D$7</f>
        <v>46.199999999999996</v>
      </c>
      <c r="I8" s="4">
        <f>MAX(0,H8-IF(A8=1,Inputs!$B$21,0))*Inputs!$B$20</f>
        <v>138.6</v>
      </c>
      <c r="J8" s="4">
        <f>Inputs!$B$15+(A8-1)*Inputs!$B$16+SUMIF(Inputs!$A$26:$A$28,"&lt;="&amp;B8,Inputs!$D$26:$D$28)</f>
        <v>280</v>
      </c>
      <c r="K8" s="5">
        <f t="shared" si="4"/>
        <v>490.34000000000037</v>
      </c>
      <c r="L8" s="14">
        <f>IF(B8&gt;=COUNT(Inputs!$A$26:$A$28),0,IF(AND(K8&gt;=0,A8&gt;=INDEX(Inputs!$B$26:$B$28,B8+1),K8&gt;=INDEX(Inputs!$C$26:$C$28,B8+1)+Inputs!$B$22),INDEX(Inputs!$C$26:$C$28,B8+1),0))</f>
        <v>0</v>
      </c>
      <c r="M8" s="5">
        <f t="shared" si="1"/>
        <v>490.34000000000037</v>
      </c>
      <c r="N8" s="15" t="str">
        <f t="shared" si="2"/>
        <v>OK</v>
      </c>
    </row>
    <row r="9" spans="1:14" x14ac:dyDescent="0.3">
      <c r="A9" s="6">
        <v>5</v>
      </c>
      <c r="B9" s="6">
        <f t="shared" si="3"/>
        <v>2</v>
      </c>
      <c r="C9" s="6">
        <f>MIN(INDEX(Inputs!$E$26:$E$28,B9)+(A9-1)*Inputs!$B$17,Inputs!$B$23)</f>
        <v>12</v>
      </c>
      <c r="D9" s="6">
        <f>C9*Inputs!$B$13</f>
        <v>84</v>
      </c>
      <c r="E9" s="11">
        <f>Inputs!$B$18*(1+Inputs!D$7*(Inputs!$B$19-1))*Inputs!D$5*Inputs!D$6</f>
        <v>8.5800000000000018</v>
      </c>
      <c r="F9" s="13">
        <f>D9*Inputs!D$8</f>
        <v>84</v>
      </c>
      <c r="G9" s="4">
        <f t="shared" si="0"/>
        <v>720.72000000000014</v>
      </c>
      <c r="H9" s="13">
        <f>F9*Inputs!D$7</f>
        <v>50.4</v>
      </c>
      <c r="I9" s="4">
        <f>MAX(0,H9-IF(A9=1,Inputs!$B$21,0))*Inputs!$B$20</f>
        <v>151.19999999999999</v>
      </c>
      <c r="J9" s="4">
        <f>Inputs!$B$15+(A9-1)*Inputs!$B$16+SUMIF(Inputs!$A$26:$A$28,"&lt;="&amp;B9,Inputs!$D$26:$D$28)</f>
        <v>310</v>
      </c>
      <c r="K9" s="5">
        <f t="shared" si="4"/>
        <v>749.86000000000035</v>
      </c>
      <c r="L9" s="14">
        <f>IF(B9&gt;=COUNT(Inputs!$A$26:$A$28),0,IF(AND(K9&gt;=0,A9&gt;=INDEX(Inputs!$B$26:$B$28,B9+1),K9&gt;=INDEX(Inputs!$C$26:$C$28,B9+1)+Inputs!$B$22),INDEX(Inputs!$C$26:$C$28,B9+1),0))</f>
        <v>0</v>
      </c>
      <c r="M9" s="5">
        <f t="shared" si="1"/>
        <v>749.86000000000035</v>
      </c>
      <c r="N9" s="15" t="str">
        <f t="shared" si="2"/>
        <v>OK</v>
      </c>
    </row>
    <row r="10" spans="1:14" x14ac:dyDescent="0.3">
      <c r="A10" s="6">
        <v>6</v>
      </c>
      <c r="B10" s="6">
        <f t="shared" si="3"/>
        <v>2</v>
      </c>
      <c r="C10" s="6">
        <f>MIN(INDEX(Inputs!$E$26:$E$28,B10)+(A10-1)*Inputs!$B$17,Inputs!$B$23)</f>
        <v>13</v>
      </c>
      <c r="D10" s="6">
        <f>C10*Inputs!$B$13</f>
        <v>91</v>
      </c>
      <c r="E10" s="11">
        <f>Inputs!$B$18*(1+Inputs!D$7*(Inputs!$B$19-1))*Inputs!D$5*Inputs!D$6</f>
        <v>8.5800000000000018</v>
      </c>
      <c r="F10" s="13">
        <f>D10*Inputs!D$8</f>
        <v>91</v>
      </c>
      <c r="G10" s="4">
        <f t="shared" si="0"/>
        <v>780.7800000000002</v>
      </c>
      <c r="H10" s="13">
        <f>F10*Inputs!D$7</f>
        <v>54.6</v>
      </c>
      <c r="I10" s="4">
        <f>MAX(0,H10-IF(A10=1,Inputs!$B$21,0))*Inputs!$B$20</f>
        <v>163.80000000000001</v>
      </c>
      <c r="J10" s="4">
        <f>Inputs!$B$15+(A10-1)*Inputs!$B$16+SUMIF(Inputs!$A$26:$A$28,"&lt;="&amp;B10,Inputs!$D$26:$D$28)</f>
        <v>340</v>
      </c>
      <c r="K10" s="5">
        <f t="shared" si="4"/>
        <v>1026.8400000000006</v>
      </c>
      <c r="L10" s="14">
        <f>IF(B10&gt;=COUNT(Inputs!$A$26:$A$28),0,IF(AND(K10&gt;=0,A10&gt;=INDEX(Inputs!$B$26:$B$28,B10+1),K10&gt;=INDEX(Inputs!$C$26:$C$28,B10+1)+Inputs!$B$22),INDEX(Inputs!$C$26:$C$28,B10+1),0))</f>
        <v>300</v>
      </c>
      <c r="M10" s="5">
        <f t="shared" si="1"/>
        <v>726.8400000000006</v>
      </c>
      <c r="N10" s="15" t="str">
        <f t="shared" si="2"/>
        <v>OK</v>
      </c>
    </row>
    <row r="11" spans="1:14" x14ac:dyDescent="0.3">
      <c r="A11" s="6">
        <v>7</v>
      </c>
      <c r="B11" s="6">
        <f t="shared" si="3"/>
        <v>3</v>
      </c>
      <c r="C11" s="6">
        <f>MIN(INDEX(Inputs!$E$26:$E$28,B11)+(A11-1)*Inputs!$B$17,Inputs!$B$23)</f>
        <v>14</v>
      </c>
      <c r="D11" s="6">
        <f>C11*Inputs!$B$13</f>
        <v>98</v>
      </c>
      <c r="E11" s="11">
        <f>Inputs!$B$18*(1+Inputs!D$7*(Inputs!$B$19-1))*Inputs!D$5*Inputs!D$6</f>
        <v>8.5800000000000018</v>
      </c>
      <c r="F11" s="13">
        <f>D11*Inputs!D$8</f>
        <v>98</v>
      </c>
      <c r="G11" s="4">
        <f t="shared" si="0"/>
        <v>840.84000000000015</v>
      </c>
      <c r="H11" s="13">
        <f>F11*Inputs!D$7</f>
        <v>58.8</v>
      </c>
      <c r="I11" s="4">
        <f>MAX(0,H11-IF(A11=1,Inputs!$B$21,0))*Inputs!$B$20</f>
        <v>176.39999999999998</v>
      </c>
      <c r="J11" s="4">
        <f>Inputs!$B$15+(A11-1)*Inputs!$B$16+SUMIF(Inputs!$A$26:$A$28,"&lt;="&amp;B11,Inputs!$D$26:$D$28)</f>
        <v>460</v>
      </c>
      <c r="K11" s="5">
        <f t="shared" si="4"/>
        <v>931.28000000000065</v>
      </c>
      <c r="L11" s="14">
        <f>IF(B11&gt;=COUNT(Inputs!$A$26:$A$28),0,IF(AND(K11&gt;=0,A11&gt;=INDEX(Inputs!$B$26:$B$28,B11+1),K11&gt;=INDEX(Inputs!$C$26:$C$28,B11+1)+Inputs!$B$22),INDEX(Inputs!$C$26:$C$28,B11+1),0))</f>
        <v>0</v>
      </c>
      <c r="M11" s="5">
        <f t="shared" si="1"/>
        <v>931.28000000000065</v>
      </c>
      <c r="N11" s="15" t="str">
        <f t="shared" si="2"/>
        <v>OK</v>
      </c>
    </row>
    <row r="12" spans="1:14" x14ac:dyDescent="0.3">
      <c r="A12" s="6">
        <v>8</v>
      </c>
      <c r="B12" s="6">
        <f t="shared" si="3"/>
        <v>3</v>
      </c>
      <c r="C12" s="6">
        <f>MIN(INDEX(Inputs!$E$26:$E$28,B12)+(A12-1)*Inputs!$B$17,Inputs!$B$23)</f>
        <v>14</v>
      </c>
      <c r="D12" s="6">
        <f>C12*Inputs!$B$13</f>
        <v>98</v>
      </c>
      <c r="E12" s="11">
        <f>Inputs!$B$18*(1+Inputs!D$7*(Inputs!$B$19-1))*Inputs!D$5*Inputs!D$6</f>
        <v>8.5800000000000018</v>
      </c>
      <c r="F12" s="13">
        <f>D12*Inputs!D$8</f>
        <v>98</v>
      </c>
      <c r="G12" s="4">
        <f t="shared" si="0"/>
        <v>840.84000000000015</v>
      </c>
      <c r="H12" s="13">
        <f>F12*Inputs!D$7</f>
        <v>58.8</v>
      </c>
      <c r="I12" s="4">
        <f>MAX(0,H12-IF(A12=1,Inputs!$B$21,0))*Inputs!$B$20</f>
        <v>176.39999999999998</v>
      </c>
      <c r="J12" s="4">
        <f>Inputs!$B$15+(A12-1)*Inputs!$B$16+SUMIF(Inputs!$A$26:$A$28,"&lt;="&amp;B12,Inputs!$D$26:$D$28)</f>
        <v>490</v>
      </c>
      <c r="K12" s="5">
        <f t="shared" si="4"/>
        <v>1105.7200000000007</v>
      </c>
      <c r="L12" s="14">
        <f>IF(B12&gt;=COUNT(Inputs!$A$26:$A$28),0,IF(AND(K12&gt;=0,A12&gt;=INDEX(Inputs!$B$26:$B$28,B12+1),K12&gt;=INDEX(Inputs!$C$26:$C$28,B12+1)+Inputs!$B$22),INDEX(Inputs!$C$26:$C$28,B12+1),0))</f>
        <v>0</v>
      </c>
      <c r="M12" s="5">
        <f t="shared" si="1"/>
        <v>1105.7200000000007</v>
      </c>
      <c r="N12" s="15" t="str">
        <f t="shared" si="2"/>
        <v>OK</v>
      </c>
    </row>
    <row r="13" spans="1:14" x14ac:dyDescent="0.3">
      <c r="A13" s="6">
        <v>9</v>
      </c>
      <c r="B13" s="6">
        <f t="shared" si="3"/>
        <v>3</v>
      </c>
      <c r="C13" s="6">
        <f>MIN(INDEX(Inputs!$E$26:$E$28,B13)+(A13-1)*Inputs!$B$17,Inputs!$B$23)</f>
        <v>14</v>
      </c>
      <c r="D13" s="6">
        <f>C13*Inputs!$B$13</f>
        <v>98</v>
      </c>
      <c r="E13" s="11">
        <f>Inputs!$B$18*(1+Inputs!D$7*(Inputs!$B$19-1))*Inputs!D$5*Inputs!D$6</f>
        <v>8.5800000000000018</v>
      </c>
      <c r="F13" s="13">
        <f>D13*Inputs!D$8</f>
        <v>98</v>
      </c>
      <c r="G13" s="4">
        <f t="shared" si="0"/>
        <v>840.84000000000015</v>
      </c>
      <c r="H13" s="13">
        <f>F13*Inputs!D$7</f>
        <v>58.8</v>
      </c>
      <c r="I13" s="4">
        <f>MAX(0,H13-IF(A13=1,Inputs!$B$21,0))*Inputs!$B$20</f>
        <v>176.39999999999998</v>
      </c>
      <c r="J13" s="4">
        <f>Inputs!$B$15+(A13-1)*Inputs!$B$16+SUMIF(Inputs!$A$26:$A$28,"&lt;="&amp;B13,Inputs!$D$26:$D$28)</f>
        <v>520</v>
      </c>
      <c r="K13" s="5">
        <f t="shared" si="4"/>
        <v>1250.1600000000008</v>
      </c>
      <c r="L13" s="14">
        <f>IF(B13&gt;=COUNT(Inputs!$A$26:$A$28),0,IF(AND(K13&gt;=0,A13&gt;=INDEX(Inputs!$B$26:$B$28,B13+1),K13&gt;=INDEX(Inputs!$C$26:$C$28,B13+1)+Inputs!$B$22),INDEX(Inputs!$C$26:$C$28,B13+1),0))</f>
        <v>0</v>
      </c>
      <c r="M13" s="5">
        <f t="shared" si="1"/>
        <v>1250.1600000000008</v>
      </c>
      <c r="N13" s="15" t="str">
        <f t="shared" si="2"/>
        <v>OK</v>
      </c>
    </row>
    <row r="14" spans="1:14" x14ac:dyDescent="0.3">
      <c r="A14" s="6">
        <v>10</v>
      </c>
      <c r="B14" s="6">
        <f t="shared" si="3"/>
        <v>3</v>
      </c>
      <c r="C14" s="6">
        <f>MIN(INDEX(Inputs!$E$26:$E$28,B14)+(A14-1)*Inputs!$B$17,Inputs!$B$23)</f>
        <v>14</v>
      </c>
      <c r="D14" s="6">
        <f>C14*Inputs!$B$13</f>
        <v>98</v>
      </c>
      <c r="E14" s="11">
        <f>Inputs!$B$18*(1+Inputs!D$7*(Inputs!$B$19-1))*Inputs!D$5*Inputs!D$6</f>
        <v>8.5800000000000018</v>
      </c>
      <c r="F14" s="13">
        <f>D14*Inputs!D$8</f>
        <v>98</v>
      </c>
      <c r="G14" s="4">
        <f t="shared" si="0"/>
        <v>840.84000000000015</v>
      </c>
      <c r="H14" s="13">
        <f>F14*Inputs!D$7</f>
        <v>58.8</v>
      </c>
      <c r="I14" s="4">
        <f>MAX(0,H14-IF(A14=1,Inputs!$B$21,0))*Inputs!$B$20</f>
        <v>176.39999999999998</v>
      </c>
      <c r="J14" s="4">
        <f>Inputs!$B$15+(A14-1)*Inputs!$B$16+SUMIF(Inputs!$A$26:$A$28,"&lt;="&amp;B14,Inputs!$D$26:$D$28)</f>
        <v>550</v>
      </c>
      <c r="K14" s="5">
        <f t="shared" si="4"/>
        <v>1364.6000000000008</v>
      </c>
      <c r="L14" s="14">
        <f>IF(B14&gt;=COUNT(Inputs!$A$26:$A$28),0,IF(AND(K14&gt;=0,A14&gt;=INDEX(Inputs!$B$26:$B$28,B14+1),K14&gt;=INDEX(Inputs!$C$26:$C$28,B14+1)+Inputs!$B$22),INDEX(Inputs!$C$26:$C$28,B14+1),0))</f>
        <v>0</v>
      </c>
      <c r="M14" s="5">
        <f t="shared" si="1"/>
        <v>1364.6000000000008</v>
      </c>
      <c r="N14" s="15" t="str">
        <f t="shared" si="2"/>
        <v>OK</v>
      </c>
    </row>
    <row r="15" spans="1:14" x14ac:dyDescent="0.3">
      <c r="A15" s="6">
        <v>11</v>
      </c>
      <c r="B15" s="6">
        <f t="shared" si="3"/>
        <v>3</v>
      </c>
      <c r="C15" s="6">
        <f>MIN(INDEX(Inputs!$E$26:$E$28,B15)+(A15-1)*Inputs!$B$17,Inputs!$B$23)</f>
        <v>14</v>
      </c>
      <c r="D15" s="6">
        <f>C15*Inputs!$B$13</f>
        <v>98</v>
      </c>
      <c r="E15" s="11">
        <f>Inputs!$B$18*(1+Inputs!D$7*(Inputs!$B$19-1))*Inputs!D$5*Inputs!D$6</f>
        <v>8.5800000000000018</v>
      </c>
      <c r="F15" s="13">
        <f>D15*Inputs!D$8</f>
        <v>98</v>
      </c>
      <c r="G15" s="4">
        <f t="shared" si="0"/>
        <v>840.84000000000015</v>
      </c>
      <c r="H15" s="13">
        <f>F15*Inputs!D$7</f>
        <v>58.8</v>
      </c>
      <c r="I15" s="4">
        <f>MAX(0,H15-IF(A15=1,Inputs!$B$21,0))*Inputs!$B$20</f>
        <v>176.39999999999998</v>
      </c>
      <c r="J15" s="4">
        <f>Inputs!$B$15+(A15-1)*Inputs!$B$16+SUMIF(Inputs!$A$26:$A$28,"&lt;="&amp;B15,Inputs!$D$26:$D$28)</f>
        <v>580</v>
      </c>
      <c r="K15" s="5">
        <f t="shared" si="4"/>
        <v>1449.0400000000009</v>
      </c>
      <c r="L15" s="14">
        <f>IF(B15&gt;=COUNT(Inputs!$A$26:$A$28),0,IF(AND(K15&gt;=0,A15&gt;=INDEX(Inputs!$B$26:$B$28,B15+1),K15&gt;=INDEX(Inputs!$C$26:$C$28,B15+1)+Inputs!$B$22),INDEX(Inputs!$C$26:$C$28,B15+1),0))</f>
        <v>0</v>
      </c>
      <c r="M15" s="5">
        <f t="shared" si="1"/>
        <v>1449.0400000000009</v>
      </c>
      <c r="N15" s="15" t="str">
        <f t="shared" si="2"/>
        <v>OK</v>
      </c>
    </row>
    <row r="16" spans="1:14" x14ac:dyDescent="0.3">
      <c r="A16" s="6">
        <v>12</v>
      </c>
      <c r="B16" s="6">
        <f t="shared" si="3"/>
        <v>3</v>
      </c>
      <c r="C16" s="6">
        <f>MIN(INDEX(Inputs!$E$26:$E$28,B16)+(A16-1)*Inputs!$B$17,Inputs!$B$23)</f>
        <v>14</v>
      </c>
      <c r="D16" s="6">
        <f>C16*Inputs!$B$13</f>
        <v>98</v>
      </c>
      <c r="E16" s="11">
        <f>Inputs!$B$18*(1+Inputs!D$7*(Inputs!$B$19-1))*Inputs!D$5*Inputs!D$6</f>
        <v>8.5800000000000018</v>
      </c>
      <c r="F16" s="13">
        <f>D16*Inputs!D$8</f>
        <v>98</v>
      </c>
      <c r="G16" s="4">
        <f t="shared" si="0"/>
        <v>840.84000000000015</v>
      </c>
      <c r="H16" s="13">
        <f>F16*Inputs!D$7</f>
        <v>58.8</v>
      </c>
      <c r="I16" s="4">
        <f>MAX(0,H16-IF(A16=1,Inputs!$B$21,0))*Inputs!$B$20</f>
        <v>176.39999999999998</v>
      </c>
      <c r="J16" s="4">
        <f>Inputs!$B$15+(A16-1)*Inputs!$B$16+SUMIF(Inputs!$A$26:$A$28,"&lt;="&amp;B16,Inputs!$D$26:$D$28)</f>
        <v>610</v>
      </c>
      <c r="K16" s="5">
        <f t="shared" si="4"/>
        <v>1503.4800000000009</v>
      </c>
      <c r="L16" s="14">
        <f>IF(B16&gt;=COUNT(Inputs!$A$26:$A$28),0,IF(AND(K16&gt;=0,A16&gt;=INDEX(Inputs!$B$26:$B$28,B16+1),K16&gt;=INDEX(Inputs!$C$26:$C$28,B16+1)+Inputs!$B$22),INDEX(Inputs!$C$26:$C$28,B16+1),0))</f>
        <v>0</v>
      </c>
      <c r="M16" s="5">
        <f t="shared" si="1"/>
        <v>1503.4800000000009</v>
      </c>
      <c r="N16" s="15" t="str">
        <f t="shared" si="2"/>
        <v>OK</v>
      </c>
    </row>
    <row r="17" spans="1:14" x14ac:dyDescent="0.3">
      <c r="A17" s="6">
        <v>13</v>
      </c>
      <c r="B17" s="6">
        <f t="shared" si="3"/>
        <v>3</v>
      </c>
      <c r="C17" s="6">
        <f>MIN(INDEX(Inputs!$E$26:$E$28,B17)+(A17-1)*Inputs!$B$17,Inputs!$B$23)</f>
        <v>14</v>
      </c>
      <c r="D17" s="6">
        <f>C17*Inputs!$B$13</f>
        <v>98</v>
      </c>
      <c r="E17" s="11">
        <f>Inputs!$B$18*(1+Inputs!D$7*(Inputs!$B$19-1))*Inputs!D$5*Inputs!D$6</f>
        <v>8.5800000000000018</v>
      </c>
      <c r="F17" s="13">
        <f>D17*Inputs!D$8</f>
        <v>98</v>
      </c>
      <c r="G17" s="4">
        <f t="shared" si="0"/>
        <v>840.84000000000015</v>
      </c>
      <c r="H17" s="13">
        <f>F17*Inputs!D$7</f>
        <v>58.8</v>
      </c>
      <c r="I17" s="4">
        <f>MAX(0,H17-IF(A17=1,Inputs!$B$21,0))*Inputs!$B$20</f>
        <v>176.39999999999998</v>
      </c>
      <c r="J17" s="4">
        <f>Inputs!$B$15+(A17-1)*Inputs!$B$16+SUMIF(Inputs!$A$26:$A$28,"&lt;="&amp;B17,Inputs!$D$26:$D$28)</f>
        <v>640</v>
      </c>
      <c r="K17" s="5">
        <f t="shared" si="4"/>
        <v>1527.920000000001</v>
      </c>
      <c r="L17" s="14">
        <f>IF(B17&gt;=COUNT(Inputs!$A$26:$A$28),0,IF(AND(K17&gt;=0,A17&gt;=INDEX(Inputs!$B$26:$B$28,B17+1),K17&gt;=INDEX(Inputs!$C$26:$C$28,B17+1)+Inputs!$B$22),INDEX(Inputs!$C$26:$C$28,B17+1),0))</f>
        <v>0</v>
      </c>
      <c r="M17" s="5">
        <f t="shared" si="1"/>
        <v>1527.920000000001</v>
      </c>
      <c r="N17" s="15" t="str">
        <f t="shared" si="2"/>
        <v>OK</v>
      </c>
    </row>
    <row r="18" spans="1:14" x14ac:dyDescent="0.3">
      <c r="A18" s="6">
        <v>14</v>
      </c>
      <c r="B18" s="6">
        <f t="shared" si="3"/>
        <v>3</v>
      </c>
      <c r="C18" s="6">
        <f>MIN(INDEX(Inputs!$E$26:$E$28,B18)+(A18-1)*Inputs!$B$17,Inputs!$B$23)</f>
        <v>14</v>
      </c>
      <c r="D18" s="6">
        <f>C18*Inputs!$B$13</f>
        <v>98</v>
      </c>
      <c r="E18" s="11">
        <f>Inputs!$B$18*(1+Inputs!D$7*(Inputs!$B$19-1))*Inputs!D$5*Inputs!D$6</f>
        <v>8.5800000000000018</v>
      </c>
      <c r="F18" s="13">
        <f>D18*Inputs!D$8</f>
        <v>98</v>
      </c>
      <c r="G18" s="4">
        <f t="shared" si="0"/>
        <v>840.84000000000015</v>
      </c>
      <c r="H18" s="13">
        <f>F18*Inputs!D$7</f>
        <v>58.8</v>
      </c>
      <c r="I18" s="4">
        <f>MAX(0,H18-IF(A18=1,Inputs!$B$21,0))*Inputs!$B$20</f>
        <v>176.39999999999998</v>
      </c>
      <c r="J18" s="4">
        <f>Inputs!$B$15+(A18-1)*Inputs!$B$16+SUMIF(Inputs!$A$26:$A$28,"&lt;="&amp;B18,Inputs!$D$26:$D$28)</f>
        <v>670</v>
      </c>
      <c r="K18" s="5">
        <f t="shared" si="4"/>
        <v>1522.360000000001</v>
      </c>
      <c r="L18" s="14">
        <f>IF(B18&gt;=COUNT(Inputs!$A$26:$A$28),0,IF(AND(K18&gt;=0,A18&gt;=INDEX(Inputs!$B$26:$B$28,B18+1),K18&gt;=INDEX(Inputs!$C$26:$C$28,B18+1)+Inputs!$B$22),INDEX(Inputs!$C$26:$C$28,B18+1),0))</f>
        <v>0</v>
      </c>
      <c r="M18" s="5">
        <f t="shared" si="1"/>
        <v>1522.360000000001</v>
      </c>
      <c r="N18" s="15" t="str">
        <f t="shared" si="2"/>
        <v>OK</v>
      </c>
    </row>
    <row r="19" spans="1:14" x14ac:dyDescent="0.3">
      <c r="A19" s="6">
        <v>15</v>
      </c>
      <c r="B19" s="6">
        <f t="shared" si="3"/>
        <v>3</v>
      </c>
      <c r="C19" s="6">
        <f>MIN(INDEX(Inputs!$E$26:$E$28,B19)+(A19-1)*Inputs!$B$17,Inputs!$B$23)</f>
        <v>14</v>
      </c>
      <c r="D19" s="6">
        <f>C19*Inputs!$B$13</f>
        <v>98</v>
      </c>
      <c r="E19" s="11">
        <f>Inputs!$B$18*(1+Inputs!D$7*(Inputs!$B$19-1))*Inputs!D$5*Inputs!D$6</f>
        <v>8.5800000000000018</v>
      </c>
      <c r="F19" s="13">
        <f>D19*Inputs!D$8</f>
        <v>98</v>
      </c>
      <c r="G19" s="4">
        <f t="shared" si="0"/>
        <v>840.84000000000015</v>
      </c>
      <c r="H19" s="13">
        <f>F19*Inputs!D$7</f>
        <v>58.8</v>
      </c>
      <c r="I19" s="4">
        <f>MAX(0,H19-IF(A19=1,Inputs!$B$21,0))*Inputs!$B$20</f>
        <v>176.39999999999998</v>
      </c>
      <c r="J19" s="4">
        <f>Inputs!$B$15+(A19-1)*Inputs!$B$16+SUMIF(Inputs!$A$26:$A$28,"&lt;="&amp;B19,Inputs!$D$26:$D$28)</f>
        <v>700</v>
      </c>
      <c r="K19" s="5">
        <f t="shared" si="4"/>
        <v>1486.8000000000011</v>
      </c>
      <c r="L19" s="14">
        <f>IF(B19&gt;=COUNT(Inputs!$A$26:$A$28),0,IF(AND(K19&gt;=0,A19&gt;=INDEX(Inputs!$B$26:$B$28,B19+1),K19&gt;=INDEX(Inputs!$C$26:$C$28,B19+1)+Inputs!$B$22),INDEX(Inputs!$C$26:$C$28,B19+1),0))</f>
        <v>0</v>
      </c>
      <c r="M19" s="5">
        <f t="shared" si="1"/>
        <v>1486.8000000000011</v>
      </c>
      <c r="N19" s="15" t="str">
        <f t="shared" si="2"/>
        <v>OK</v>
      </c>
    </row>
    <row r="20" spans="1:14" x14ac:dyDescent="0.3">
      <c r="A20" s="6">
        <v>16</v>
      </c>
      <c r="B20" s="6">
        <f t="shared" si="3"/>
        <v>3</v>
      </c>
      <c r="C20" s="6">
        <f>MIN(INDEX(Inputs!$E$26:$E$28,B20)+(A20-1)*Inputs!$B$17,Inputs!$B$23)</f>
        <v>14</v>
      </c>
      <c r="D20" s="6">
        <f>C20*Inputs!$B$13</f>
        <v>98</v>
      </c>
      <c r="E20" s="11">
        <f>Inputs!$B$18*(1+Inputs!D$7*(Inputs!$B$19-1))*Inputs!D$5*Inputs!D$6</f>
        <v>8.5800000000000018</v>
      </c>
      <c r="F20" s="13">
        <f>D20*Inputs!D$8</f>
        <v>98</v>
      </c>
      <c r="G20" s="4">
        <f t="shared" si="0"/>
        <v>840.84000000000015</v>
      </c>
      <c r="H20" s="13">
        <f>F20*Inputs!D$7</f>
        <v>58.8</v>
      </c>
      <c r="I20" s="4">
        <f>MAX(0,H20-IF(A20=1,Inputs!$B$21,0))*Inputs!$B$20</f>
        <v>176.39999999999998</v>
      </c>
      <c r="J20" s="4">
        <f>Inputs!$B$15+(A20-1)*Inputs!$B$16+SUMIF(Inputs!$A$26:$A$28,"&lt;="&amp;B20,Inputs!$D$26:$D$28)</f>
        <v>730</v>
      </c>
      <c r="K20" s="5">
        <f t="shared" si="4"/>
        <v>1421.2400000000011</v>
      </c>
      <c r="L20" s="14">
        <f>IF(B20&gt;=COUNT(Inputs!$A$26:$A$28),0,IF(AND(K20&gt;=0,A20&gt;=INDEX(Inputs!$B$26:$B$28,B20+1),K20&gt;=INDEX(Inputs!$C$26:$C$28,B20+1)+Inputs!$B$22),INDEX(Inputs!$C$26:$C$28,B20+1),0))</f>
        <v>0</v>
      </c>
      <c r="M20" s="5">
        <f t="shared" si="1"/>
        <v>1421.2400000000011</v>
      </c>
      <c r="N20" s="15" t="str">
        <f t="shared" si="2"/>
        <v>OK</v>
      </c>
    </row>
    <row r="21" spans="1:14" x14ac:dyDescent="0.3">
      <c r="A21" s="6">
        <v>17</v>
      </c>
      <c r="B21" s="6">
        <f t="shared" si="3"/>
        <v>3</v>
      </c>
      <c r="C21" s="6">
        <f>MIN(INDEX(Inputs!$E$26:$E$28,B21)+(A21-1)*Inputs!$B$17,Inputs!$B$23)</f>
        <v>14</v>
      </c>
      <c r="D21" s="6">
        <f>C21*Inputs!$B$13</f>
        <v>98</v>
      </c>
      <c r="E21" s="11">
        <f>Inputs!$B$18*(1+Inputs!D$7*(Inputs!$B$19-1))*Inputs!D$5*Inputs!D$6</f>
        <v>8.5800000000000018</v>
      </c>
      <c r="F21" s="13">
        <f>D21*Inputs!D$8</f>
        <v>98</v>
      </c>
      <c r="G21" s="4">
        <f t="shared" si="0"/>
        <v>840.84000000000015</v>
      </c>
      <c r="H21" s="13">
        <f>F21*Inputs!D$7</f>
        <v>58.8</v>
      </c>
      <c r="I21" s="4">
        <f>MAX(0,H21-IF(A21=1,Inputs!$B$21,0))*Inputs!$B$20</f>
        <v>176.39999999999998</v>
      </c>
      <c r="J21" s="4">
        <f>Inputs!$B$15+(A21-1)*Inputs!$B$16+SUMIF(Inputs!$A$26:$A$28,"&lt;="&amp;B21,Inputs!$D$26:$D$28)</f>
        <v>760</v>
      </c>
      <c r="K21" s="5">
        <f t="shared" si="4"/>
        <v>1325.6800000000012</v>
      </c>
      <c r="L21" s="14">
        <f>IF(B21&gt;=COUNT(Inputs!$A$26:$A$28),0,IF(AND(K21&gt;=0,A21&gt;=INDEX(Inputs!$B$26:$B$28,B21+1),K21&gt;=INDEX(Inputs!$C$26:$C$28,B21+1)+Inputs!$B$22),INDEX(Inputs!$C$26:$C$28,B21+1),0))</f>
        <v>0</v>
      </c>
      <c r="M21" s="5">
        <f t="shared" si="1"/>
        <v>1325.6800000000012</v>
      </c>
      <c r="N21" s="15" t="str">
        <f t="shared" si="2"/>
        <v>OK</v>
      </c>
    </row>
    <row r="22" spans="1:14" x14ac:dyDescent="0.3">
      <c r="A22" s="6">
        <v>18</v>
      </c>
      <c r="B22" s="6">
        <f t="shared" si="3"/>
        <v>3</v>
      </c>
      <c r="C22" s="6">
        <f>MIN(INDEX(Inputs!$E$26:$E$28,B22)+(A22-1)*Inputs!$B$17,Inputs!$B$23)</f>
        <v>14</v>
      </c>
      <c r="D22" s="6">
        <f>C22*Inputs!$B$13</f>
        <v>98</v>
      </c>
      <c r="E22" s="11">
        <f>Inputs!$B$18*(1+Inputs!D$7*(Inputs!$B$19-1))*Inputs!D$5*Inputs!D$6</f>
        <v>8.5800000000000018</v>
      </c>
      <c r="F22" s="13">
        <f>D22*Inputs!D$8</f>
        <v>98</v>
      </c>
      <c r="G22" s="4">
        <f t="shared" si="0"/>
        <v>840.84000000000015</v>
      </c>
      <c r="H22" s="13">
        <f>F22*Inputs!D$7</f>
        <v>58.8</v>
      </c>
      <c r="I22" s="4">
        <f>MAX(0,H22-IF(A22=1,Inputs!$B$21,0))*Inputs!$B$20</f>
        <v>176.39999999999998</v>
      </c>
      <c r="J22" s="4">
        <f>Inputs!$B$15+(A22-1)*Inputs!$B$16+SUMIF(Inputs!$A$26:$A$28,"&lt;="&amp;B22,Inputs!$D$26:$D$28)</f>
        <v>790</v>
      </c>
      <c r="K22" s="5">
        <f t="shared" si="4"/>
        <v>1200.1200000000013</v>
      </c>
      <c r="L22" s="14">
        <f>IF(B22&gt;=COUNT(Inputs!$A$26:$A$28),0,IF(AND(K22&gt;=0,A22&gt;=INDEX(Inputs!$B$26:$B$28,B22+1),K22&gt;=INDEX(Inputs!$C$26:$C$28,B22+1)+Inputs!$B$22),INDEX(Inputs!$C$26:$C$28,B22+1),0))</f>
        <v>0</v>
      </c>
      <c r="M22" s="5">
        <f t="shared" si="1"/>
        <v>1200.1200000000013</v>
      </c>
      <c r="N22" s="15" t="str">
        <f t="shared" si="2"/>
        <v>OK</v>
      </c>
    </row>
    <row r="23" spans="1:14" x14ac:dyDescent="0.3">
      <c r="A23" s="6">
        <v>19</v>
      </c>
      <c r="B23" s="6">
        <f t="shared" si="3"/>
        <v>3</v>
      </c>
      <c r="C23" s="6">
        <f>MIN(INDEX(Inputs!$E$26:$E$28,B23)+(A23-1)*Inputs!$B$17,Inputs!$B$23)</f>
        <v>14</v>
      </c>
      <c r="D23" s="6">
        <f>C23*Inputs!$B$13</f>
        <v>98</v>
      </c>
      <c r="E23" s="11">
        <f>Inputs!$B$18*(1+Inputs!D$7*(Inputs!$B$19-1))*Inputs!D$5*Inputs!D$6</f>
        <v>8.5800000000000018</v>
      </c>
      <c r="F23" s="13">
        <f>D23*Inputs!D$8</f>
        <v>98</v>
      </c>
      <c r="G23" s="4">
        <f t="shared" si="0"/>
        <v>840.84000000000015</v>
      </c>
      <c r="H23" s="13">
        <f>F23*Inputs!D$7</f>
        <v>58.8</v>
      </c>
      <c r="I23" s="4">
        <f>MAX(0,H23-IF(A23=1,Inputs!$B$21,0))*Inputs!$B$20</f>
        <v>176.39999999999998</v>
      </c>
      <c r="J23" s="4">
        <f>Inputs!$B$15+(A23-1)*Inputs!$B$16+SUMIF(Inputs!$A$26:$A$28,"&lt;="&amp;B23,Inputs!$D$26:$D$28)</f>
        <v>820</v>
      </c>
      <c r="K23" s="5">
        <f t="shared" si="4"/>
        <v>1044.5600000000013</v>
      </c>
      <c r="L23" s="14">
        <f>IF(B23&gt;=COUNT(Inputs!$A$26:$A$28),0,IF(AND(K23&gt;=0,A23&gt;=INDEX(Inputs!$B$26:$B$28,B23+1),K23&gt;=INDEX(Inputs!$C$26:$C$28,B23+1)+Inputs!$B$22),INDEX(Inputs!$C$26:$C$28,B23+1),0))</f>
        <v>0</v>
      </c>
      <c r="M23" s="5">
        <f t="shared" si="1"/>
        <v>1044.5600000000013</v>
      </c>
      <c r="N23" s="15" t="str">
        <f t="shared" si="2"/>
        <v>OK</v>
      </c>
    </row>
    <row r="24" spans="1:14" x14ac:dyDescent="0.3">
      <c r="A24" s="6">
        <v>20</v>
      </c>
      <c r="B24" s="6">
        <f t="shared" si="3"/>
        <v>3</v>
      </c>
      <c r="C24" s="6">
        <f>MIN(INDEX(Inputs!$E$26:$E$28,B24)+(A24-1)*Inputs!$B$17,Inputs!$B$23)</f>
        <v>14</v>
      </c>
      <c r="D24" s="6">
        <f>C24*Inputs!$B$13</f>
        <v>98</v>
      </c>
      <c r="E24" s="11">
        <f>Inputs!$B$18*(1+Inputs!D$7*(Inputs!$B$19-1))*Inputs!D$5*Inputs!D$6</f>
        <v>8.5800000000000018</v>
      </c>
      <c r="F24" s="13">
        <f>D24*Inputs!D$8</f>
        <v>98</v>
      </c>
      <c r="G24" s="4">
        <f t="shared" si="0"/>
        <v>840.84000000000015</v>
      </c>
      <c r="H24" s="13">
        <f>F24*Inputs!D$7</f>
        <v>58.8</v>
      </c>
      <c r="I24" s="4">
        <f>MAX(0,H24-IF(A24=1,Inputs!$B$21,0))*Inputs!$B$20</f>
        <v>176.39999999999998</v>
      </c>
      <c r="J24" s="4">
        <f>Inputs!$B$15+(A24-1)*Inputs!$B$16+SUMIF(Inputs!$A$26:$A$28,"&lt;="&amp;B24,Inputs!$D$26:$D$28)</f>
        <v>850</v>
      </c>
      <c r="K24" s="5">
        <f t="shared" si="4"/>
        <v>859.00000000000136</v>
      </c>
      <c r="L24" s="14">
        <f>IF(B24&gt;=COUNT(Inputs!$A$26:$A$28),0,IF(AND(K24&gt;=0,A24&gt;=INDEX(Inputs!$B$26:$B$28,B24+1),K24&gt;=INDEX(Inputs!$C$26:$C$28,B24+1)+Inputs!$B$22),INDEX(Inputs!$C$26:$C$28,B24+1),0))</f>
        <v>0</v>
      </c>
      <c r="M24" s="5">
        <f t="shared" si="1"/>
        <v>859.00000000000136</v>
      </c>
      <c r="N24" s="15" t="str">
        <f t="shared" si="2"/>
        <v>OK</v>
      </c>
    </row>
    <row r="25" spans="1:14" x14ac:dyDescent="0.3">
      <c r="A25" s="6">
        <v>21</v>
      </c>
      <c r="B25" s="6">
        <f t="shared" si="3"/>
        <v>3</v>
      </c>
      <c r="C25" s="6">
        <f>MIN(INDEX(Inputs!$E$26:$E$28,B25)+(A25-1)*Inputs!$B$17,Inputs!$B$23)</f>
        <v>14</v>
      </c>
      <c r="D25" s="6">
        <f>C25*Inputs!$B$13</f>
        <v>98</v>
      </c>
      <c r="E25" s="11">
        <f>Inputs!$B$18*(1+Inputs!D$7*(Inputs!$B$19-1))*Inputs!D$5*Inputs!D$6</f>
        <v>8.5800000000000018</v>
      </c>
      <c r="F25" s="13">
        <f>D25*Inputs!D$8</f>
        <v>98</v>
      </c>
      <c r="G25" s="4">
        <f t="shared" si="0"/>
        <v>840.84000000000015</v>
      </c>
      <c r="H25" s="13">
        <f>F25*Inputs!D$7</f>
        <v>58.8</v>
      </c>
      <c r="I25" s="4">
        <f>MAX(0,H25-IF(A25=1,Inputs!$B$21,0))*Inputs!$B$20</f>
        <v>176.39999999999998</v>
      </c>
      <c r="J25" s="4">
        <f>Inputs!$B$15+(A25-1)*Inputs!$B$16+SUMIF(Inputs!$A$26:$A$28,"&lt;="&amp;B25,Inputs!$D$26:$D$28)</f>
        <v>880</v>
      </c>
      <c r="K25" s="5">
        <f t="shared" si="4"/>
        <v>643.44000000000142</v>
      </c>
      <c r="L25" s="14">
        <f>IF(B25&gt;=COUNT(Inputs!$A$26:$A$28),0,IF(AND(K25&gt;=0,A25&gt;=INDEX(Inputs!$B$26:$B$28,B25+1),K25&gt;=INDEX(Inputs!$C$26:$C$28,B25+1)+Inputs!$B$22),INDEX(Inputs!$C$26:$C$28,B25+1),0))</f>
        <v>0</v>
      </c>
      <c r="M25" s="5">
        <f t="shared" si="1"/>
        <v>643.44000000000142</v>
      </c>
      <c r="N25" s="15" t="str">
        <f t="shared" si="2"/>
        <v>OK</v>
      </c>
    </row>
    <row r="26" spans="1:14" x14ac:dyDescent="0.3">
      <c r="A26" s="6">
        <v>22</v>
      </c>
      <c r="B26" s="6">
        <f t="shared" si="3"/>
        <v>3</v>
      </c>
      <c r="C26" s="6">
        <f>MIN(INDEX(Inputs!$E$26:$E$28,B26)+(A26-1)*Inputs!$B$17,Inputs!$B$23)</f>
        <v>14</v>
      </c>
      <c r="D26" s="6">
        <f>C26*Inputs!$B$13</f>
        <v>98</v>
      </c>
      <c r="E26" s="11">
        <f>Inputs!$B$18*(1+Inputs!D$7*(Inputs!$B$19-1))*Inputs!D$5*Inputs!D$6</f>
        <v>8.5800000000000018</v>
      </c>
      <c r="F26" s="13">
        <f>D26*Inputs!D$8</f>
        <v>98</v>
      </c>
      <c r="G26" s="4">
        <f t="shared" si="0"/>
        <v>840.84000000000015</v>
      </c>
      <c r="H26" s="13">
        <f>F26*Inputs!D$7</f>
        <v>58.8</v>
      </c>
      <c r="I26" s="4">
        <f>MAX(0,H26-IF(A26=1,Inputs!$B$21,0))*Inputs!$B$20</f>
        <v>176.39999999999998</v>
      </c>
      <c r="J26" s="4">
        <f>Inputs!$B$15+(A26-1)*Inputs!$B$16+SUMIF(Inputs!$A$26:$A$28,"&lt;="&amp;B26,Inputs!$D$26:$D$28)</f>
        <v>910</v>
      </c>
      <c r="K26" s="5">
        <f t="shared" si="4"/>
        <v>397.88000000000147</v>
      </c>
      <c r="L26" s="14">
        <f>IF(B26&gt;=COUNT(Inputs!$A$26:$A$28),0,IF(AND(K26&gt;=0,A26&gt;=INDEX(Inputs!$B$26:$B$28,B26+1),K26&gt;=INDEX(Inputs!$C$26:$C$28,B26+1)+Inputs!$B$22),INDEX(Inputs!$C$26:$C$28,B26+1),0))</f>
        <v>0</v>
      </c>
      <c r="M26" s="5">
        <f t="shared" si="1"/>
        <v>397.88000000000147</v>
      </c>
      <c r="N26" s="15" t="str">
        <f t="shared" si="2"/>
        <v>OK</v>
      </c>
    </row>
    <row r="27" spans="1:14" x14ac:dyDescent="0.3">
      <c r="A27" s="6">
        <v>23</v>
      </c>
      <c r="B27" s="6">
        <f t="shared" si="3"/>
        <v>3</v>
      </c>
      <c r="C27" s="6">
        <f>MIN(INDEX(Inputs!$E$26:$E$28,B27)+(A27-1)*Inputs!$B$17,Inputs!$B$23)</f>
        <v>14</v>
      </c>
      <c r="D27" s="6">
        <f>C27*Inputs!$B$13</f>
        <v>98</v>
      </c>
      <c r="E27" s="11">
        <f>Inputs!$B$18*(1+Inputs!D$7*(Inputs!$B$19-1))*Inputs!D$5*Inputs!D$6</f>
        <v>8.5800000000000018</v>
      </c>
      <c r="F27" s="13">
        <f>D27*Inputs!D$8</f>
        <v>98</v>
      </c>
      <c r="G27" s="4">
        <f t="shared" si="0"/>
        <v>840.84000000000015</v>
      </c>
      <c r="H27" s="13">
        <f>F27*Inputs!D$7</f>
        <v>58.8</v>
      </c>
      <c r="I27" s="4">
        <f>MAX(0,H27-IF(A27=1,Inputs!$B$21,0))*Inputs!$B$20</f>
        <v>176.39999999999998</v>
      </c>
      <c r="J27" s="4">
        <f>Inputs!$B$15+(A27-1)*Inputs!$B$16+SUMIF(Inputs!$A$26:$A$28,"&lt;="&amp;B27,Inputs!$D$26:$D$28)</f>
        <v>940</v>
      </c>
      <c r="K27" s="5">
        <f t="shared" si="4"/>
        <v>122.32000000000153</v>
      </c>
      <c r="L27" s="14">
        <f>IF(B27&gt;=COUNT(Inputs!$A$26:$A$28),0,IF(AND(K27&gt;=0,A27&gt;=INDEX(Inputs!$B$26:$B$28,B27+1),K27&gt;=INDEX(Inputs!$C$26:$C$28,B27+1)+Inputs!$B$22),INDEX(Inputs!$C$26:$C$28,B27+1),0))</f>
        <v>0</v>
      </c>
      <c r="M27" s="5">
        <f t="shared" si="1"/>
        <v>122.32000000000153</v>
      </c>
      <c r="N27" s="15" t="str">
        <f t="shared" si="2"/>
        <v>OK</v>
      </c>
    </row>
    <row r="28" spans="1:14" x14ac:dyDescent="0.3">
      <c r="A28" s="6">
        <v>24</v>
      </c>
      <c r="B28" s="6">
        <f t="shared" si="3"/>
        <v>3</v>
      </c>
      <c r="C28" s="6">
        <f>MIN(INDEX(Inputs!$E$26:$E$28,B28)+(A28-1)*Inputs!$B$17,Inputs!$B$23)</f>
        <v>14</v>
      </c>
      <c r="D28" s="6">
        <f>C28*Inputs!$B$13</f>
        <v>98</v>
      </c>
      <c r="E28" s="11">
        <f>Inputs!$B$18*(1+Inputs!D$7*(Inputs!$B$19-1))*Inputs!D$5*Inputs!D$6</f>
        <v>8.5800000000000018</v>
      </c>
      <c r="F28" s="13">
        <f>D28*Inputs!D$8</f>
        <v>98</v>
      </c>
      <c r="G28" s="4">
        <f t="shared" si="0"/>
        <v>840.84000000000015</v>
      </c>
      <c r="H28" s="13">
        <f>F28*Inputs!D$7</f>
        <v>58.8</v>
      </c>
      <c r="I28" s="4">
        <f>MAX(0,H28-IF(A28=1,Inputs!$B$21,0))*Inputs!$B$20</f>
        <v>176.39999999999998</v>
      </c>
      <c r="J28" s="4">
        <f>Inputs!$B$15+(A28-1)*Inputs!$B$16+SUMIF(Inputs!$A$26:$A$28,"&lt;="&amp;B28,Inputs!$D$26:$D$28)</f>
        <v>970</v>
      </c>
      <c r="K28" s="5">
        <f t="shared" si="4"/>
        <v>-183.2399999999983</v>
      </c>
      <c r="L28" s="14">
        <f>IF(B28&gt;=COUNT(Inputs!$A$26:$A$28),0,IF(AND(K28&gt;=0,A28&gt;=INDEX(Inputs!$B$26:$B$28,B28+1),K28&gt;=INDEX(Inputs!$C$26:$C$28,B28+1)+Inputs!$B$22),INDEX(Inputs!$C$26:$C$28,B28+1),0))</f>
        <v>0</v>
      </c>
      <c r="M28" s="5">
        <f t="shared" si="1"/>
        <v>-183.2399999999983</v>
      </c>
      <c r="N28" s="15" t="str">
        <f t="shared" si="2"/>
        <v>FAIL</v>
      </c>
    </row>
    <row r="29" spans="1:14" x14ac:dyDescent="0.3">
      <c r="A29" s="6">
        <v>25</v>
      </c>
      <c r="B29" s="6">
        <f t="shared" si="3"/>
        <v>3</v>
      </c>
      <c r="C29" s="6">
        <f>MIN(INDEX(Inputs!$E$26:$E$28,B29)+(A29-1)*Inputs!$B$17,Inputs!$B$23)</f>
        <v>14</v>
      </c>
      <c r="D29" s="6">
        <f>C29*Inputs!$B$13</f>
        <v>98</v>
      </c>
      <c r="E29" s="11">
        <f>Inputs!$B$18*(1+Inputs!D$7*(Inputs!$B$19-1))*Inputs!D$5*Inputs!D$6</f>
        <v>8.5800000000000018</v>
      </c>
      <c r="F29" s="13">
        <f>D29*Inputs!D$8</f>
        <v>98</v>
      </c>
      <c r="G29" s="4">
        <f t="shared" si="0"/>
        <v>840.84000000000015</v>
      </c>
      <c r="H29" s="13">
        <f>F29*Inputs!D$7</f>
        <v>58.8</v>
      </c>
      <c r="I29" s="4">
        <f>MAX(0,H29-IF(A29=1,Inputs!$B$21,0))*Inputs!$B$20</f>
        <v>176.39999999999998</v>
      </c>
      <c r="J29" s="4">
        <f>Inputs!$B$15+(A29-1)*Inputs!$B$16+SUMIF(Inputs!$A$26:$A$28,"&lt;="&amp;B29,Inputs!$D$26:$D$28)</f>
        <v>1000</v>
      </c>
      <c r="K29" s="5">
        <f t="shared" si="4"/>
        <v>-518.79999999999814</v>
      </c>
      <c r="L29" s="14">
        <f>IF(B29&gt;=COUNT(Inputs!$A$26:$A$28),0,IF(AND(K29&gt;=0,A29&gt;=INDEX(Inputs!$B$26:$B$28,B29+1),K29&gt;=INDEX(Inputs!$C$26:$C$28,B29+1)+Inputs!$B$22),INDEX(Inputs!$C$26:$C$28,B29+1),0))</f>
        <v>0</v>
      </c>
      <c r="M29" s="5">
        <f t="shared" si="1"/>
        <v>-518.79999999999814</v>
      </c>
      <c r="N29" s="15" t="str">
        <f t="shared" si="2"/>
        <v>FAIL</v>
      </c>
    </row>
    <row r="30" spans="1:14" x14ac:dyDescent="0.3">
      <c r="A30" s="6">
        <v>26</v>
      </c>
      <c r="B30" s="6">
        <f t="shared" si="3"/>
        <v>3</v>
      </c>
      <c r="C30" s="6">
        <f>MIN(INDEX(Inputs!$E$26:$E$28,B30)+(A30-1)*Inputs!$B$17,Inputs!$B$23)</f>
        <v>14</v>
      </c>
      <c r="D30" s="6">
        <f>C30*Inputs!$B$13</f>
        <v>98</v>
      </c>
      <c r="E30" s="11">
        <f>Inputs!$B$18*(1+Inputs!D$7*(Inputs!$B$19-1))*Inputs!D$5*Inputs!D$6</f>
        <v>8.5800000000000018</v>
      </c>
      <c r="F30" s="13">
        <f>D30*Inputs!D$8</f>
        <v>98</v>
      </c>
      <c r="G30" s="4">
        <f t="shared" si="0"/>
        <v>840.84000000000015</v>
      </c>
      <c r="H30" s="13">
        <f>F30*Inputs!D$7</f>
        <v>58.8</v>
      </c>
      <c r="I30" s="4">
        <f>MAX(0,H30-IF(A30=1,Inputs!$B$21,0))*Inputs!$B$20</f>
        <v>176.39999999999998</v>
      </c>
      <c r="J30" s="4">
        <f>Inputs!$B$15+(A30-1)*Inputs!$B$16+SUMIF(Inputs!$A$26:$A$28,"&lt;="&amp;B30,Inputs!$D$26:$D$28)</f>
        <v>1030</v>
      </c>
      <c r="K30" s="5">
        <f t="shared" si="4"/>
        <v>-884.35999999999797</v>
      </c>
      <c r="L30" s="14">
        <f>IF(B30&gt;=COUNT(Inputs!$A$26:$A$28),0,IF(AND(K30&gt;=0,A30&gt;=INDEX(Inputs!$B$26:$B$28,B30+1),K30&gt;=INDEX(Inputs!$C$26:$C$28,B30+1)+Inputs!$B$22),INDEX(Inputs!$C$26:$C$28,B30+1),0))</f>
        <v>0</v>
      </c>
      <c r="M30" s="5">
        <f t="shared" si="1"/>
        <v>-884.35999999999797</v>
      </c>
      <c r="N30" s="15" t="str">
        <f t="shared" si="2"/>
        <v>FAIL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Inputs</vt:lpstr>
      <vt:lpstr>Low</vt:lpstr>
      <vt:lpstr>Mid</vt:lpstr>
      <vt:lpstr>High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(20106642) Aine Clewes</cp:lastModifiedBy>
  <cp:revision>0</cp:revision>
  <dcterms:created xsi:type="dcterms:W3CDTF">2026-10-21T08:32:23Z</dcterms:created>
  <dcterms:modified xsi:type="dcterms:W3CDTF">2026-10-21T09:55:36Z</dcterms:modified>
  <dc:language>en-US</dc:language>
</cp:coreProperties>
</file>